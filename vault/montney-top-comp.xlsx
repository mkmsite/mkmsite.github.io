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ney Com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<sst xmlns="http://schemas.openxmlformats.org/spreadsheetml/2006/main" count="57" uniqueCount="43">
  <si>
    <t xml:space="preserve">Montney Play — Top Producer Comparable Companies Analysis</t>
  </si>
  <si>
    <t xml:space="preserve">All figures approximate, sourced from public company disclosures (FY2024 / Q3 2024).  All $CAD unless noted.  * OVV figures in USD; Montney segment production only.  User should verify against latest filings before use.</t>
  </si>
  <si>
    <t xml:space="preserve">TRADING COMPARABLES</t>
  </si>
  <si>
    <t xml:space="preserve">Company</t>
  </si>
  <si>
    <t xml:space="preserve">Ticker</t>
  </si>
  <si>
    <t xml:space="preserve">Exch</t>
  </si>
  <si>
    <t xml:space="preserve">Montney
Focus</t>
  </si>
  <si>
    <t xml:space="preserve">Production
(BOE/d)</t>
  </si>
  <si>
    <t xml:space="preserve">Liquids %</t>
  </si>
  <si>
    <t xml:space="preserve">Mkt Cap
($B CAD)</t>
  </si>
  <si>
    <t xml:space="preserve">EV
($B CAD)</t>
  </si>
  <si>
    <t xml:space="preserve">Net Debt
($B CAD)</t>
  </si>
  <si>
    <t xml:space="preserve">EV/EBITDA
(x)</t>
  </si>
  <si>
    <t xml:space="preserve">EV/Prod
($/BOE/d)</t>
  </si>
  <si>
    <t xml:space="preserve">Netback
($/BOE)</t>
  </si>
  <si>
    <t xml:space="preserve">Div Yield
(%)</t>
  </si>
  <si>
    <t xml:space="preserve">Tourmaline Oil</t>
  </si>
  <si>
    <t xml:space="preserve">TOU</t>
  </si>
  <si>
    <t xml:space="preserve">TSX</t>
  </si>
  <si>
    <t xml:space="preserve">Primary</t>
  </si>
  <si>
    <t xml:space="preserve">ARC Resources</t>
  </si>
  <si>
    <t xml:space="preserve">ARX</t>
  </si>
  <si>
    <t xml:space="preserve">Ovintiv *</t>
  </si>
  <si>
    <t xml:space="preserve">OVV</t>
  </si>
  <si>
    <t xml:space="preserve">NYSE</t>
  </si>
  <si>
    <t xml:space="preserve">Multi-basin</t>
  </si>
  <si>
    <t xml:space="preserve">Peyto Exploration</t>
  </si>
  <si>
    <t xml:space="preserve">PEY</t>
  </si>
  <si>
    <t xml:space="preserve">Paramount Resources</t>
  </si>
  <si>
    <t xml:space="preserve">POU</t>
  </si>
  <si>
    <t xml:space="preserve">NuVista Energy</t>
  </si>
  <si>
    <t xml:space="preserve">NVA</t>
  </si>
  <si>
    <t xml:space="preserve">Advantage Energy</t>
  </si>
  <si>
    <t xml:space="preserve">AAV</t>
  </si>
  <si>
    <t xml:space="preserve">Kelt Exploration</t>
  </si>
  <si>
    <t xml:space="preserve">KEL</t>
  </si>
  <si>
    <t xml:space="preserve">Crew Energy</t>
  </si>
  <si>
    <t xml:space="preserve">CR</t>
  </si>
  <si>
    <t xml:space="preserve">Mean</t>
  </si>
  <si>
    <t xml:space="preserve">Median</t>
  </si>
  <si>
    <t xml:space="preserve">Min</t>
  </si>
  <si>
    <t xml:space="preserve">Max</t>
  </si>
  <si>
    <t xml:space="preserve">Sources: Tourmaline Oil Q3-2024 Press Release; ARC Resources Q3-2024 Report; Ovintiv Q3-2024 10-Q; Peyto Q3-2024 MD&amp;A; Paramount Q3-2024 Report; NuVista Q3-2024 MD&amp;A; Advantage Q3-2024 Report; Kelt Q3-2024 MD&amp;A; Crew Energy Q3-2024 Report. Market data as of late 2024 (approximate).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</si>
</sst>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;\(#,##0\);\-"/>
    <numFmt numFmtId="167" formatCode="0%;\(0%\);\-"/>
    <numFmt numFmtId="168" formatCode="\$#,##0.0;&quot;($&quot;#,##0.0\);\-"/>
    <numFmt numFmtId="169" formatCode="0.0\x;\(0.0&quot;x)&quot;;\-"/>
    <numFmt numFmtId="170" formatCode="\$#,##0;&quot;($&quot;#,##0\);\-"/>
    <numFmt numFmtId="171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7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customFormat="false" ht="15.75" hidden="false" customHeight="true" outlineLevel="0" collapsed="false">
      <c r="A5" s="5" t="s">
        <v>16</v>
      </c>
      <c r="B5" s="6" t="s">
        <v>17</v>
      </c>
      <c r="C5" s="6" t="s">
        <v>18</v>
      </c>
      <c r="D5" s="6" t="s">
        <v>19</v>
      </c>
      <c r="E5" s="7" t="n">
        <v>570000</v>
      </c>
      <c r="F5" s="8" t="n">
        <v>0.2</v>
      </c>
      <c r="G5" s="9" t="n">
        <v>20</v>
      </c>
      <c r="H5" s="9" t="n">
        <v>22.5</v>
      </c>
      <c r="I5" s="9" t="n">
        <v>2.5</v>
      </c>
      <c r="J5" s="10" t="n">
        <v>7.5</v>
      </c>
      <c r="K5" s="11" t="n">
        <v>39500</v>
      </c>
      <c r="L5" s="9" t="n">
        <v>18</v>
      </c>
      <c r="M5" s="12" t="n">
        <v>0.055</v>
      </c>
    </row>
    <row r="6" customFormat="false" ht="15.75" hidden="false" customHeight="true" outlineLevel="0" collapsed="false">
      <c r="A6" s="13" t="s">
        <v>20</v>
      </c>
      <c r="B6" s="14" t="s">
        <v>21</v>
      </c>
      <c r="C6" s="14" t="s">
        <v>18</v>
      </c>
      <c r="D6" s="14" t="s">
        <v>19</v>
      </c>
      <c r="E6" s="15" t="n">
        <v>340000</v>
      </c>
      <c r="F6" s="16" t="n">
        <v>0.38</v>
      </c>
      <c r="G6" s="17" t="n">
        <v>9.5</v>
      </c>
      <c r="H6" s="17" t="n">
        <v>11.5</v>
      </c>
      <c r="I6" s="17" t="n">
        <v>2</v>
      </c>
      <c r="J6" s="18" t="n">
        <v>6</v>
      </c>
      <c r="K6" s="19" t="n">
        <v>33800</v>
      </c>
      <c r="L6" s="17" t="n">
        <v>22</v>
      </c>
      <c r="M6" s="20" t="n">
        <v>0.05</v>
      </c>
    </row>
    <row r="7" customFormat="false" ht="15.75" hidden="false" customHeight="true" outlineLevel="0" collapsed="false">
      <c r="A7" s="5" t="s">
        <v>22</v>
      </c>
      <c r="B7" s="6" t="s">
        <v>23</v>
      </c>
      <c r="C7" s="6" t="s">
        <v>24</v>
      </c>
      <c r="D7" s="6" t="s">
        <v>25</v>
      </c>
      <c r="E7" s="7" t="n">
        <v>170000</v>
      </c>
      <c r="F7" s="8" t="n">
        <v>0.52</v>
      </c>
      <c r="G7" s="9" t="n">
        <v>9.8</v>
      </c>
      <c r="H7" s="9" t="n">
        <v>14.5</v>
      </c>
      <c r="I7" s="9" t="n">
        <v>4.7</v>
      </c>
      <c r="J7" s="10" t="n">
        <v>4.5</v>
      </c>
      <c r="K7" s="11" t="n">
        <v>85000</v>
      </c>
      <c r="L7" s="9" t="n">
        <v>28</v>
      </c>
      <c r="M7" s="12" t="n">
        <v>0.025</v>
      </c>
    </row>
    <row r="8" customFormat="false" ht="15.75" hidden="false" customHeight="true" outlineLevel="0" collapsed="false">
      <c r="A8" s="13" t="s">
        <v>26</v>
      </c>
      <c r="B8" s="14" t="s">
        <v>27</v>
      </c>
      <c r="C8" s="14" t="s">
        <v>18</v>
      </c>
      <c r="D8" s="14" t="s">
        <v>19</v>
      </c>
      <c r="E8" s="15" t="n">
        <v>115000</v>
      </c>
      <c r="F8" s="16" t="n">
        <v>0.18</v>
      </c>
      <c r="G8" s="17" t="n">
        <v>3.2</v>
      </c>
      <c r="H8" s="17" t="n">
        <v>4.5</v>
      </c>
      <c r="I8" s="17" t="n">
        <v>1.3</v>
      </c>
      <c r="J8" s="18" t="n">
        <v>5.5</v>
      </c>
      <c r="K8" s="19" t="n">
        <v>39100</v>
      </c>
      <c r="L8" s="17" t="n">
        <v>14</v>
      </c>
      <c r="M8" s="20" t="n">
        <v>0.065</v>
      </c>
    </row>
    <row r="9" customFormat="false" ht="15.75" hidden="false" customHeight="true" outlineLevel="0" collapsed="false">
      <c r="A9" s="5" t="s">
        <v>28</v>
      </c>
      <c r="B9" s="6" t="s">
        <v>29</v>
      </c>
      <c r="C9" s="6" t="s">
        <v>18</v>
      </c>
      <c r="D9" s="6" t="s">
        <v>19</v>
      </c>
      <c r="E9" s="7" t="n">
        <v>100000</v>
      </c>
      <c r="F9" s="8" t="n">
        <v>0.33</v>
      </c>
      <c r="G9" s="9" t="n">
        <v>2.8</v>
      </c>
      <c r="H9" s="9" t="n">
        <v>3.2</v>
      </c>
      <c r="I9" s="9" t="n">
        <v>0.4</v>
      </c>
      <c r="J9" s="10" t="n">
        <v>5</v>
      </c>
      <c r="K9" s="11" t="n">
        <v>32000</v>
      </c>
      <c r="L9" s="9" t="n">
        <v>24</v>
      </c>
      <c r="M9" s="12" t="n">
        <v>0.035</v>
      </c>
    </row>
    <row r="10" customFormat="false" ht="15.75" hidden="false" customHeight="true" outlineLevel="0" collapsed="false">
      <c r="A10" s="13" t="s">
        <v>30</v>
      </c>
      <c r="B10" s="14" t="s">
        <v>31</v>
      </c>
      <c r="C10" s="14" t="s">
        <v>18</v>
      </c>
      <c r="D10" s="14" t="s">
        <v>19</v>
      </c>
      <c r="E10" s="15" t="n">
        <v>70000</v>
      </c>
      <c r="F10" s="16" t="n">
        <v>0.65</v>
      </c>
      <c r="G10" s="17" t="n">
        <v>1.4</v>
      </c>
      <c r="H10" s="17" t="n">
        <v>1.7</v>
      </c>
      <c r="I10" s="17" t="n">
        <v>0.3</v>
      </c>
      <c r="J10" s="18" t="n">
        <v>4</v>
      </c>
      <c r="K10" s="19" t="n">
        <v>24300</v>
      </c>
      <c r="L10" s="17" t="n">
        <v>30</v>
      </c>
      <c r="M10" s="20" t="n">
        <v>0</v>
      </c>
    </row>
    <row r="11" customFormat="false" ht="15.75" hidden="false" customHeight="true" outlineLevel="0" collapsed="false">
      <c r="A11" s="5" t="s">
        <v>32</v>
      </c>
      <c r="B11" s="6" t="s">
        <v>33</v>
      </c>
      <c r="C11" s="6" t="s">
        <v>18</v>
      </c>
      <c r="D11" s="6" t="s">
        <v>19</v>
      </c>
      <c r="E11" s="7" t="n">
        <v>55000</v>
      </c>
      <c r="F11" s="8" t="n">
        <v>0.12</v>
      </c>
      <c r="G11" s="9" t="n">
        <v>0.9</v>
      </c>
      <c r="H11" s="9" t="n">
        <v>1.1</v>
      </c>
      <c r="I11" s="9" t="n">
        <v>0.2</v>
      </c>
      <c r="J11" s="10" t="n">
        <v>4.5</v>
      </c>
      <c r="K11" s="11" t="n">
        <v>20000</v>
      </c>
      <c r="L11" s="9" t="n">
        <v>15</v>
      </c>
      <c r="M11" s="12" t="n">
        <v>0</v>
      </c>
    </row>
    <row r="12" customFormat="false" ht="15.75" hidden="false" customHeight="true" outlineLevel="0" collapsed="false">
      <c r="A12" s="13" t="s">
        <v>34</v>
      </c>
      <c r="B12" s="14" t="s">
        <v>35</v>
      </c>
      <c r="C12" s="14" t="s">
        <v>18</v>
      </c>
      <c r="D12" s="14" t="s">
        <v>19</v>
      </c>
      <c r="E12" s="15" t="n">
        <v>35000</v>
      </c>
      <c r="F12" s="16" t="n">
        <v>0.42</v>
      </c>
      <c r="G12" s="17" t="n">
        <v>0.8</v>
      </c>
      <c r="H12" s="17" t="n">
        <v>0.9</v>
      </c>
      <c r="I12" s="17" t="n">
        <v>0.1</v>
      </c>
      <c r="J12" s="18" t="n">
        <v>4</v>
      </c>
      <c r="K12" s="19" t="n">
        <v>25700</v>
      </c>
      <c r="L12" s="17" t="n">
        <v>20</v>
      </c>
      <c r="M12" s="20" t="n">
        <v>0</v>
      </c>
    </row>
    <row r="13" customFormat="false" ht="15.75" hidden="false" customHeight="true" outlineLevel="0" collapsed="false">
      <c r="A13" s="5" t="s">
        <v>36</v>
      </c>
      <c r="B13" s="6" t="s">
        <v>37</v>
      </c>
      <c r="C13" s="6" t="s">
        <v>18</v>
      </c>
      <c r="D13" s="6" t="s">
        <v>19</v>
      </c>
      <c r="E13" s="7" t="n">
        <v>28000</v>
      </c>
      <c r="F13" s="8" t="n">
        <v>0.45</v>
      </c>
      <c r="G13" s="9" t="n">
        <v>0.5</v>
      </c>
      <c r="H13" s="9" t="n">
        <v>0.7</v>
      </c>
      <c r="I13" s="9" t="n">
        <v>0.2</v>
      </c>
      <c r="J13" s="10" t="n">
        <v>4.5</v>
      </c>
      <c r="K13" s="11" t="n">
        <v>25000</v>
      </c>
      <c r="L13" s="9" t="n">
        <v>17</v>
      </c>
      <c r="M13" s="12" t="n">
        <v>0</v>
      </c>
    </row>
    <row r="15" customFormat="false" ht="15.75" hidden="false" customHeight="true" outlineLevel="0" collapsed="false">
      <c r="A15" s="21" t="s">
        <v>38</v>
      </c>
      <c r="B15" s="22"/>
      <c r="C15" s="22"/>
      <c r="D15" s="22"/>
      <c r="E15" s="23" t="n">
        <f aca="false">AVERAGE(E5:E13)</f>
        <v>164777.777777778</v>
      </c>
      <c r="F15" s="24" t="n">
        <f aca="false">AVERAGE(F5:F13)</f>
        <v>0.361111111111111</v>
      </c>
      <c r="G15" s="25" t="n">
        <f aca="false">AVERAGE(G5:G13)</f>
        <v>5.43333333333333</v>
      </c>
      <c r="H15" s="25" t="n">
        <f aca="false">AVERAGE(H5:H13)</f>
        <v>6.73333333333333</v>
      </c>
      <c r="I15" s="25" t="n">
        <f aca="false">AVERAGE(I5:I13)</f>
        <v>1.3</v>
      </c>
      <c r="J15" s="26" t="n">
        <f aca="false">AVERAGE(J5:J13)</f>
        <v>5.05555555555556</v>
      </c>
      <c r="K15" s="27" t="n">
        <f aca="false">AVERAGE(K5:K13)</f>
        <v>36044.4444444444</v>
      </c>
      <c r="L15" s="25" t="n">
        <f aca="false">AVERAGE(L5:L13)</f>
        <v>20.8888888888889</v>
      </c>
      <c r="M15" s="28" t="n">
        <f aca="false">AVERAGE(M5:M13)</f>
        <v>0.0255555555555556</v>
      </c>
    </row>
    <row r="16" customFormat="false" ht="15.75" hidden="false" customHeight="true" outlineLevel="0" collapsed="false">
      <c r="A16" s="21" t="s">
        <v>39</v>
      </c>
      <c r="B16" s="22"/>
      <c r="C16" s="22"/>
      <c r="D16" s="22"/>
      <c r="E16" s="23" t="n">
        <f aca="false">MEDIAN(E5:E13)</f>
        <v>100000</v>
      </c>
      <c r="F16" s="24" t="n">
        <f aca="false">MEDIAN(F5:F13)</f>
        <v>0.38</v>
      </c>
      <c r="G16" s="25" t="n">
        <f aca="false">MEDIAN(G5:G13)</f>
        <v>2.8</v>
      </c>
      <c r="H16" s="25" t="n">
        <f aca="false">MEDIAN(H5:H13)</f>
        <v>3.2</v>
      </c>
      <c r="I16" s="25" t="n">
        <f aca="false">MEDIAN(I5:I13)</f>
        <v>0.4</v>
      </c>
      <c r="J16" s="26" t="n">
        <f aca="false">MEDIAN(J5:J13)</f>
        <v>4.5</v>
      </c>
      <c r="K16" s="27" t="n">
        <f aca="false">MEDIAN(K5:K13)</f>
        <v>32000</v>
      </c>
      <c r="L16" s="25" t="n">
        <f aca="false">MEDIAN(L5:L13)</f>
        <v>20</v>
      </c>
      <c r="M16" s="28" t="n">
        <f aca="false">MEDIAN(M5:M13)</f>
        <v>0.025</v>
      </c>
    </row>
    <row r="17" customFormat="false" ht="15.75" hidden="false" customHeight="true" outlineLevel="0" collapsed="false">
      <c r="A17" s="21" t="s">
        <v>40</v>
      </c>
      <c r="B17" s="22"/>
      <c r="C17" s="22"/>
      <c r="D17" s="22"/>
      <c r="E17" s="23" t="n">
        <f aca="false">MIN(E5:E13)</f>
        <v>28000</v>
      </c>
      <c r="F17" s="24" t="n">
        <f aca="false">MIN(F5:F13)</f>
        <v>0.12</v>
      </c>
      <c r="G17" s="25" t="n">
        <f aca="false">MIN(G5:G13)</f>
        <v>0.5</v>
      </c>
      <c r="H17" s="25" t="n">
        <f aca="false">MIN(H5:H13)</f>
        <v>0.7</v>
      </c>
      <c r="I17" s="25" t="n">
        <f aca="false">MIN(I5:I13)</f>
        <v>0.1</v>
      </c>
      <c r="J17" s="26" t="n">
        <f aca="false">MIN(J5:J13)</f>
        <v>4</v>
      </c>
      <c r="K17" s="27" t="n">
        <f aca="false">MIN(K5:K13)</f>
        <v>20000</v>
      </c>
      <c r="L17" s="25" t="n">
        <f aca="false">MIN(L5:L13)</f>
        <v>14</v>
      </c>
      <c r="M17" s="28" t="n">
        <f aca="false">MIN(M5:M13)</f>
        <v>0</v>
      </c>
    </row>
    <row r="18" customFormat="false" ht="15.75" hidden="false" customHeight="true" outlineLevel="0" collapsed="false">
      <c r="A18" s="21" t="s">
        <v>41</v>
      </c>
      <c r="B18" s="22"/>
      <c r="C18" s="22"/>
      <c r="D18" s="22"/>
      <c r="E18" s="23" t="n">
        <f aca="false">MAX(E5:E13)</f>
        <v>570000</v>
      </c>
      <c r="F18" s="24" t="n">
        <f aca="false">MAX(F5:F13)</f>
        <v>0.65</v>
      </c>
      <c r="G18" s="25" t="n">
        <f aca="false">MAX(G5:G13)</f>
        <v>20</v>
      </c>
      <c r="H18" s="25" t="n">
        <f aca="false">MAX(H5:H13)</f>
        <v>22.5</v>
      </c>
      <c r="I18" s="25" t="n">
        <f aca="false">MAX(I5:I13)</f>
        <v>4.7</v>
      </c>
      <c r="J18" s="26" t="n">
        <f aca="false">MAX(J5:J13)</f>
        <v>7.5</v>
      </c>
      <c r="K18" s="27" t="n">
        <f aca="false">MAX(K5:K13)</f>
        <v>85000</v>
      </c>
      <c r="L18" s="25" t="n">
        <f aca="false">MAX(L5:L13)</f>
        <v>30</v>
      </c>
      <c r="M18" s="28" t="n">
        <f aca="false">MAX(M5:M13)</f>
        <v>0.065</v>
      </c>
    </row>
    <row r="21" customFormat="false" ht="27.75" hidden="false" customHeight="true" outlineLevel="0" collapsed="false">
      <c r="A21" s="29" t="s">
        <v>42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</sheetData>
  <mergeCells count="4">
    <mergeCell ref="A1:M1"/>
    <mergeCell ref="A2:M2"/>
    <mergeCell ref="A3:M3"/>
    <mergeCell ref="A21:M21"/>
  </mergeCells>
  <conditionalFormatting sqref="J5:J13">
    <cfRule type="colorScale" priority="2">
      <colorScale>
        <cfvo type="min" val="0"/>
        <cfvo type="percentile" val="50"/>
        <cfvo type="max" val="0"/>
        <color rgb="FF00B050"/>
        <color rgb="FFFFFF00"/>
        <color rgb="FFFF6B6B"/>
      </colorScale>
    </cfRule>
  </conditionalFormatting>
  <conditionalFormatting sqref="K5:K13">
    <cfRule type="colorScale" priority="3">
      <colorScale>
        <cfvo type="min" val="0"/>
        <cfvo type="percentile" val="50"/>
        <cfvo type="max" val="0"/>
        <color rgb="FF00B050"/>
        <color rgb="FFFFFF00"/>
        <color rgb="FFFF6B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2026-06-13T02:53:03Z</dcterms:created>
  <dc:creator>openpyxl</dc:creator>
  <dc:description/>
  <dc:language>en-US</dc:language>
  <cp:lastModifiedBy/>
  <dcterms:modified xsi:type="dcterms:W3CDTF">2026-06-13T02:53:03Z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