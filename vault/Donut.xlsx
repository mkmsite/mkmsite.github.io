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u\Downloads\"/>
    </mc:Choice>
  </mc:AlternateContent>
  <xr:revisionPtr revIDLastSave="0" documentId="8_{A6C17392-9450-4F29-9D04-81051CD6E002}" xr6:coauthVersionLast="47" xr6:coauthVersionMax="47" xr10:uidLastSave="{00000000-0000-0000-0000-000000000000}"/>
  <bookViews>
    <workbookView xWindow="-108" yWindow="-108" windowWidth="23256" windowHeight="13896" activeTab="1" xr2:uid="{FA773E70-3074-4D54-9629-60376402327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3" i="2" l="1"/>
  <c r="B31" i="2"/>
  <c r="B32" i="2"/>
  <c r="B33" i="2"/>
  <c r="B34" i="2"/>
  <c r="B35" i="2"/>
  <c r="B36" i="2"/>
  <c r="B37" i="2"/>
  <c r="B38" i="2"/>
  <c r="B39" i="2"/>
  <c r="B40" i="2"/>
  <c r="B41" i="2"/>
  <c r="B26" i="2"/>
  <c r="B25" i="2"/>
  <c r="B24" i="2"/>
  <c r="B23" i="2"/>
  <c r="B22" i="2"/>
  <c r="B21" i="2"/>
  <c r="B20" i="2"/>
  <c r="B19" i="2"/>
  <c r="B18" i="2"/>
  <c r="B17" i="2"/>
  <c r="B16" i="2"/>
  <c r="F11" i="2"/>
  <c r="E11" i="2"/>
  <c r="D11" i="2"/>
  <c r="C11" i="2"/>
  <c r="B11" i="2"/>
  <c r="D10" i="2"/>
  <c r="D9" i="2"/>
  <c r="D8" i="2"/>
  <c r="D7" i="2"/>
  <c r="D6" i="2"/>
  <c r="D5" i="2"/>
</calcChain>
</file>

<file path=xl/sharedStrings.xml><?xml version="1.0" encoding="utf-8"?>
<sst xmlns="http://schemas.openxmlformats.org/spreadsheetml/2006/main" count="58" uniqueCount="45">
  <si>
    <t>Asset</t>
  </si>
  <si>
    <t>Play Evolution (X)</t>
  </si>
  <si>
    <t>Data Confidence (Y)</t>
  </si>
  <si>
    <t>Inventory (size)</t>
  </si>
  <si>
    <t>Attachie</t>
  </si>
  <si>
    <t>Progress</t>
  </si>
  <si>
    <t>Conroy</t>
  </si>
  <si>
    <t>Valhalla</t>
  </si>
  <si>
    <t>Charlie Lake</t>
  </si>
  <si>
    <t>Wembley</t>
  </si>
  <si>
    <t>Glacier</t>
  </si>
  <si>
    <t>Curve X</t>
  </si>
  <si>
    <t>Curve Y</t>
  </si>
  <si>
    <t>Curve size</t>
  </si>
  <si>
    <t>Over 2,400 Future Drilling Locations Across Commodities</t>
  </si>
  <si>
    <t>Booked locations are as of December 31, 2025.</t>
  </si>
  <si>
    <t>Booked</t>
  </si>
  <si>
    <t>Unbooked</t>
  </si>
  <si>
    <t>Total Inventory (Wells)</t>
  </si>
  <si>
    <t>Tier 1</t>
  </si>
  <si>
    <t>2026 Net Drills</t>
  </si>
  <si>
    <t>BC Montney</t>
  </si>
  <si>
    <t>Total</t>
  </si>
  <si>
    <t>Outer ring — Booked / Unbooked by asset</t>
  </si>
  <si>
    <t>Segment</t>
  </si>
  <si>
    <t>Wells</t>
  </si>
  <si>
    <t>192 Booked</t>
  </si>
  <si>
    <t>603 Unbooked</t>
  </si>
  <si>
    <t>35 Booked</t>
  </si>
  <si>
    <t>186 Unbooked</t>
  </si>
  <si>
    <t>56 Booked</t>
  </si>
  <si>
    <t>342 Unbooked</t>
  </si>
  <si>
    <t>22 Booked</t>
  </si>
  <si>
    <t>370 Unbooked</t>
  </si>
  <si>
    <t>119 Booked</t>
  </si>
  <si>
    <t>146 Unbooked</t>
  </si>
  <si>
    <t>350 Unbooked</t>
  </si>
  <si>
    <t>233 Tier 1</t>
  </si>
  <si>
    <t>84 Tier 1</t>
  </si>
  <si>
    <t>142 Tier 1</t>
  </si>
  <si>
    <t>56 Tier 1</t>
  </si>
  <si>
    <t>127 Tier 1</t>
  </si>
  <si>
    <t>Inner ring — Tier 1 by asset (fillers keep angles aligned to outer ring)</t>
  </si>
  <si>
    <t>(filler)</t>
  </si>
  <si>
    <t>Inner total (must equal outer)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</si>
</sst>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1F3050"/>
      <name val="Arial"/>
    </font>
    <font>
      <sz val="11"/>
      <color theme="1"/>
      <name val="Arial"/>
    </font>
    <font>
      <i/>
      <sz val="9"/>
      <color rgb="FF808080"/>
      <name val="Arial"/>
    </font>
    <font>
      <b/>
      <sz val="11"/>
      <color rgb="FFFFFFFF"/>
      <name val="Arial"/>
    </font>
    <font>
      <b/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3" fontId="0" fillId="0" borderId="0" xfId="0" applyNumberForma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wrapText="1"/>
    </xf>
    <xf numFmtId="3" fontId="3" fillId="0" borderId="0" xfId="0" applyNumberFormat="1" applyFont="1"/>
    <xf numFmtId="0" fontId="6" fillId="0" borderId="1" xfId="0" applyFont="1" applyBorder="1"/>
    <xf numFmtId="3" fontId="6" fillId="0" borderId="1" xfId="0" applyNumberFormat="1" applyFont="1" applyBorder="1"/>
    <xf numFmtId="0" fontId="6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rgbClr val="1F305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Asset Portfolio Spanning the Development Life Cycle</a:t>
            </a:r>
          </a:p>
        </c:rich>
      </c:tx>
      <c:layout>
        <c:manualLayout>
          <c:xMode val="edge"/>
          <c:yMode val="edge"/>
          <c:x val="1.0490693949079245E-2"/>
          <c:y val="1.16535518328421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rgbClr val="1F305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6.8989426082632394E-2"/>
          <c:y val="9.3228414662737499E-2"/>
          <c:w val="0.9048223531080849"/>
          <c:h val="0.72252021363621555"/>
        </c:manualLayout>
      </c:layout>
      <c:bubbleChart>
        <c:varyColors val="0"/>
        <c:ser>
          <c:idx val="0"/>
          <c:order val="0"/>
          <c:tx>
            <c:v>Attachie</c:v>
          </c:tx>
          <c:spPr>
            <a:solidFill>
              <a:srgbClr val="8FA8D3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rgbClr val="1F305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Sheet1!$B$2</c:f>
              <c:numCache>
                <c:formatCode>General</c:formatCode>
                <c:ptCount val="1"/>
                <c:pt idx="0">
                  <c:v>2.5299999999999998</c:v>
                </c:pt>
              </c:numCache>
            </c:numRef>
          </c:xVal>
          <c:yVal>
            <c:numRef>
              <c:f>Sheet1!$C$2</c:f>
              <c:numCache>
                <c:formatCode>General</c:formatCode>
                <c:ptCount val="1"/>
                <c:pt idx="0">
                  <c:v>1.98</c:v>
                </c:pt>
              </c:numCache>
            </c:numRef>
          </c:yVal>
          <c:bubbleSize>
            <c:numRef>
              <c:f>Sheet1!$D$2</c:f>
              <c:numCache>
                <c:formatCode>General</c:formatCode>
                <c:ptCount val="1"/>
                <c:pt idx="0">
                  <c:v>1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1-4C5A-4ED0-B881-AA55D7A3ECE2}"/>
            </c:ext>
          </c:extLst>
        </c:ser>
        <c:ser>
          <c:idx val="1"/>
          <c:order val="1"/>
          <c:tx>
            <c:v>Progress</c:v>
          </c:tx>
          <c:spPr>
            <a:solidFill>
              <a:srgbClr val="ED8B22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rgbClr val="1F305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Sheet1!$B$3</c:f>
              <c:numCache>
                <c:formatCode>General</c:formatCode>
                <c:ptCount val="1"/>
                <c:pt idx="0">
                  <c:v>3.41</c:v>
                </c:pt>
              </c:numCache>
            </c:numRef>
          </c:xVal>
          <c:yVal>
            <c:numRef>
              <c:f>Sheet1!$C$3</c:f>
              <c:numCache>
                <c:formatCode>General</c:formatCode>
                <c:ptCount val="1"/>
                <c:pt idx="0">
                  <c:v>2.92</c:v>
                </c:pt>
              </c:numCache>
            </c:numRef>
          </c:yVal>
          <c:bubbleSize>
            <c:numRef>
              <c:f>Sheet1!$D$3</c:f>
              <c:numCache>
                <c:formatCode>General</c:formatCode>
                <c:ptCount val="1"/>
                <c:pt idx="0">
                  <c:v>3.5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2-4C5A-4ED0-B881-AA55D7A3ECE2}"/>
            </c:ext>
          </c:extLst>
        </c:ser>
        <c:ser>
          <c:idx val="2"/>
          <c:order val="2"/>
          <c:tx>
            <c:v>Conroy</c:v>
          </c:tx>
          <c:spPr>
            <a:solidFill>
              <a:srgbClr val="D0402A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rgbClr val="1F305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Sheet1!$B$4</c:f>
              <c:numCache>
                <c:formatCode>General</c:formatCode>
                <c:ptCount val="1"/>
                <c:pt idx="0">
                  <c:v>4.7300000000000004</c:v>
                </c:pt>
              </c:numCache>
            </c:numRef>
          </c:xVal>
          <c:yVal>
            <c:numRef>
              <c:f>Sheet1!$C$4</c:f>
              <c:numCache>
                <c:formatCode>General</c:formatCode>
                <c:ptCount val="1"/>
                <c:pt idx="0">
                  <c:v>4.79</c:v>
                </c:pt>
              </c:numCache>
            </c:numRef>
          </c:yVal>
          <c:bubbleSize>
            <c:numRef>
              <c:f>Sheet1!$D$4</c:f>
              <c:numCache>
                <c:formatCode>General</c:formatCode>
                <c:ptCount val="1"/>
                <c:pt idx="0">
                  <c:v>3.3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3-4C5A-4ED0-B881-AA55D7A3ECE2}"/>
            </c:ext>
          </c:extLst>
        </c:ser>
        <c:ser>
          <c:idx val="3"/>
          <c:order val="3"/>
          <c:tx>
            <c:v>Valhalla</c:v>
          </c:tx>
          <c:spPr>
            <a:solidFill>
              <a:srgbClr val="C69C6D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rgbClr val="1F305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Sheet1!$B$5</c:f>
              <c:numCache>
                <c:formatCode>General</c:formatCode>
                <c:ptCount val="1"/>
                <c:pt idx="0">
                  <c:v>5.74</c:v>
                </c:pt>
              </c:numCache>
            </c:numRef>
          </c:xVal>
          <c:yVal>
            <c:numRef>
              <c:f>Sheet1!$C$5</c:f>
              <c:numCache>
                <c:formatCode>General</c:formatCode>
                <c:ptCount val="1"/>
                <c:pt idx="0">
                  <c:v>6.46</c:v>
                </c:pt>
              </c:numCache>
            </c:numRef>
          </c:yVal>
          <c:bubbleSize>
            <c:numRef>
              <c:f>Sheet1!$D$5</c:f>
              <c:numCache>
                <c:formatCode>General</c:formatCode>
                <c:ptCount val="1"/>
                <c:pt idx="0">
                  <c:v>4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4-4C5A-4ED0-B881-AA55D7A3ECE2}"/>
            </c:ext>
          </c:extLst>
        </c:ser>
        <c:ser>
          <c:idx val="4"/>
          <c:order val="4"/>
          <c:tx>
            <c:v>Charlie Lake</c:v>
          </c:tx>
          <c:spPr>
            <a:solidFill>
              <a:srgbClr val="4F5B5E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rgbClr val="1F305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Sheet1!$B$6</c:f>
              <c:numCache>
                <c:formatCode>General</c:formatCode>
                <c:ptCount val="1"/>
                <c:pt idx="0">
                  <c:v>6.42</c:v>
                </c:pt>
              </c:numCache>
            </c:numRef>
          </c:xVal>
          <c:yVal>
            <c:numRef>
              <c:f>Sheet1!$C$6</c:f>
              <c:numCache>
                <c:formatCode>General</c:formatCode>
                <c:ptCount val="1"/>
                <c:pt idx="0">
                  <c:v>7.02</c:v>
                </c:pt>
              </c:numCache>
            </c:numRef>
          </c:yVal>
          <c:bubbleSize>
            <c:numRef>
              <c:f>Sheet1!$D$6</c:f>
              <c:numCache>
                <c:formatCode>General</c:formatCode>
                <c:ptCount val="1"/>
                <c:pt idx="0">
                  <c:v>2.7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5-4C5A-4ED0-B881-AA55D7A3ECE2}"/>
            </c:ext>
          </c:extLst>
        </c:ser>
        <c:ser>
          <c:idx val="5"/>
          <c:order val="5"/>
          <c:tx>
            <c:v>Wembley</c:v>
          </c:tx>
          <c:spPr>
            <a:solidFill>
              <a:srgbClr val="7BA05B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rgbClr val="1F305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Sheet1!$B$7</c:f>
              <c:numCache>
                <c:formatCode>General</c:formatCode>
                <c:ptCount val="1"/>
                <c:pt idx="0">
                  <c:v>6.86</c:v>
                </c:pt>
              </c:numCache>
            </c:numRef>
          </c:xVal>
          <c:yVal>
            <c:numRef>
              <c:f>Sheet1!$C$7</c:f>
              <c:numCache>
                <c:formatCode>General</c:formatCode>
                <c:ptCount val="1"/>
                <c:pt idx="0">
                  <c:v>7.67</c:v>
                </c:pt>
              </c:numCache>
            </c:numRef>
          </c:yVal>
          <c:bubbleSize>
            <c:numRef>
              <c:f>Sheet1!$D$7</c:f>
              <c:numCache>
                <c:formatCode>General</c:formatCode>
                <c:ptCount val="1"/>
                <c:pt idx="0">
                  <c:v>1.9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6-4C5A-4ED0-B881-AA55D7A3ECE2}"/>
            </c:ext>
          </c:extLst>
        </c:ser>
        <c:ser>
          <c:idx val="6"/>
          <c:order val="6"/>
          <c:tx>
            <c:v>Glacier</c:v>
          </c:tx>
          <c:spPr>
            <a:solidFill>
              <a:srgbClr val="33507E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rgbClr val="1F305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Sheet1!$B$8</c:f>
              <c:numCache>
                <c:formatCode>General</c:formatCode>
                <c:ptCount val="1"/>
                <c:pt idx="0">
                  <c:v>8.1300000000000008</c:v>
                </c:pt>
              </c:numCache>
            </c:numRef>
          </c:xVal>
          <c:yVal>
            <c:numRef>
              <c:f>Sheet1!$C$8</c:f>
              <c:numCache>
                <c:formatCode>General</c:formatCode>
                <c:ptCount val="1"/>
                <c:pt idx="0">
                  <c:v>8.4</c:v>
                </c:pt>
              </c:numCache>
            </c:numRef>
          </c:yVal>
          <c:bubbleSize>
            <c:numRef>
              <c:f>Sheet1!$D$8</c:f>
              <c:numCache>
                <c:formatCode>General</c:formatCode>
                <c:ptCount val="1"/>
                <c:pt idx="0">
                  <c:v>10.1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7-4C5A-4ED0-B881-AA55D7A3ECE2}"/>
            </c:ext>
          </c:extLst>
        </c:ser>
        <c:ser>
          <c:idx val="7"/>
          <c:order val="7"/>
          <c:tx>
            <c:v>Curve</c:v>
          </c:tx>
          <c:spPr>
            <a:solidFill>
              <a:srgbClr val="FDF6F0"/>
            </a:solidFill>
            <a:ln w="25400">
              <a:noFill/>
            </a:ln>
            <a:effectLst/>
          </c:spPr>
          <c:invertIfNegative val="0"/>
          <c:trendline>
            <c:spPr>
              <a:ln w="41275" cap="rnd">
                <a:solidFill>
                  <a:srgbClr val="000000"/>
                </a:solidFill>
                <a:prstDash val="solid"/>
              </a:ln>
              <a:effectLst/>
            </c:spPr>
            <c:trendlineType val="poly"/>
            <c:order val="4"/>
            <c:dispRSqr val="0"/>
            <c:dispEq val="0"/>
          </c:trendline>
          <c:xVal>
            <c:numRef>
              <c:f>Sheet1!$F$2:$F$13</c:f>
              <c:numCache>
                <c:formatCode>General</c:formatCode>
                <c:ptCount val="12"/>
                <c:pt idx="0">
                  <c:v>0.7</c:v>
                </c:pt>
                <c:pt idx="1">
                  <c:v>1.5</c:v>
                </c:pt>
                <c:pt idx="2">
                  <c:v>2</c:v>
                </c:pt>
                <c:pt idx="3">
                  <c:v>2.5299999999999998</c:v>
                </c:pt>
                <c:pt idx="4">
                  <c:v>3.41</c:v>
                </c:pt>
                <c:pt idx="5">
                  <c:v>4.7300000000000004</c:v>
                </c:pt>
                <c:pt idx="6">
                  <c:v>5.74</c:v>
                </c:pt>
                <c:pt idx="7">
                  <c:v>6.42</c:v>
                </c:pt>
                <c:pt idx="8">
                  <c:v>6.86</c:v>
                </c:pt>
                <c:pt idx="9">
                  <c:v>8.1300000000000008</c:v>
                </c:pt>
                <c:pt idx="10">
                  <c:v>9</c:v>
                </c:pt>
                <c:pt idx="11">
                  <c:v>9.8000000000000007</c:v>
                </c:pt>
              </c:numCache>
            </c:numRef>
          </c:xVal>
          <c:yVal>
            <c:numRef>
              <c:f>Sheet1!$G$2:$G$13</c:f>
              <c:numCache>
                <c:formatCode>General</c:formatCode>
                <c:ptCount val="12"/>
                <c:pt idx="0">
                  <c:v>1.1499999999999999</c:v>
                </c:pt>
                <c:pt idx="1">
                  <c:v>1.35</c:v>
                </c:pt>
                <c:pt idx="2">
                  <c:v>1.6</c:v>
                </c:pt>
                <c:pt idx="3">
                  <c:v>1.98</c:v>
                </c:pt>
                <c:pt idx="4">
                  <c:v>2.92</c:v>
                </c:pt>
                <c:pt idx="5">
                  <c:v>4.79</c:v>
                </c:pt>
                <c:pt idx="6">
                  <c:v>6.46</c:v>
                </c:pt>
                <c:pt idx="7">
                  <c:v>7.02</c:v>
                </c:pt>
                <c:pt idx="8">
                  <c:v>7.67</c:v>
                </c:pt>
                <c:pt idx="9">
                  <c:v>8.4</c:v>
                </c:pt>
                <c:pt idx="10">
                  <c:v>8.75</c:v>
                </c:pt>
                <c:pt idx="11">
                  <c:v>8.9499999999999993</c:v>
                </c:pt>
              </c:numCache>
            </c:numRef>
          </c:yVal>
          <c:bubbleSize>
            <c:numRef>
              <c:f>Sheet1!$H$2:$H$13</c:f>
              <c:numCache>
                <c:formatCode>General</c:formatCode>
                <c:ptCount val="12"/>
                <c:pt idx="0">
                  <c:v>1E-4</c:v>
                </c:pt>
                <c:pt idx="1">
                  <c:v>1E-4</c:v>
                </c:pt>
                <c:pt idx="2">
                  <c:v>1E-4</c:v>
                </c:pt>
                <c:pt idx="3">
                  <c:v>1E-4</c:v>
                </c:pt>
                <c:pt idx="4">
                  <c:v>1E-4</c:v>
                </c:pt>
                <c:pt idx="5">
                  <c:v>1E-4</c:v>
                </c:pt>
                <c:pt idx="6">
                  <c:v>1E-4</c:v>
                </c:pt>
                <c:pt idx="7">
                  <c:v>1E-4</c:v>
                </c:pt>
                <c:pt idx="8">
                  <c:v>1E-4</c:v>
                </c:pt>
                <c:pt idx="9">
                  <c:v>1E-4</c:v>
                </c:pt>
                <c:pt idx="10">
                  <c:v>1E-4</c:v>
                </c:pt>
                <c:pt idx="11">
                  <c:v>1E-4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8-4C5A-4ED0-B881-AA55D7A3E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48213056"/>
        <c:axId val="37842352"/>
      </c:bubbleChart>
      <c:valAx>
        <c:axId val="48213056"/>
        <c:scaling>
          <c:orientation val="minMax"/>
          <c:max val="10"/>
          <c:min val="0.5"/>
        </c:scaling>
        <c:delete val="0"/>
        <c:axPos val="b"/>
        <c:majorGridlines>
          <c:spPr>
            <a:ln w="12700" cap="flat" cmpd="sng" algn="ctr">
              <a:solidFill>
                <a:srgbClr val="E8A87C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 w="254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42352"/>
        <c:crosses val="autoZero"/>
        <c:crossBetween val="midCat"/>
        <c:majorUnit val="2.5"/>
      </c:valAx>
      <c:valAx>
        <c:axId val="37842352"/>
        <c:scaling>
          <c:orientation val="minMax"/>
          <c:max val="10"/>
          <c:min val="0"/>
        </c:scaling>
        <c:delete val="0"/>
        <c:axPos val="l"/>
        <c:majorGridlines>
          <c:spPr>
            <a:ln w="12700" cap="flat" cmpd="sng" algn="ctr">
              <a:solidFill>
                <a:srgbClr val="E8A87C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1F305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Data Confidence
Quality/Availability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1F305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one"/>
        <c:spPr>
          <a:noFill/>
          <a:ln w="254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13056"/>
        <c:crosses val="autoZero"/>
        <c:crossBetween val="midCat"/>
        <c:majorUnit val="2.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DF6F0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6.4792447343382117E-2"/>
          <c:y val="0.17171306514517942"/>
          <c:w val="0.87469803913565858"/>
          <c:h val="0.8282869348548206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33507E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CED1-48BB-8CAC-9050D48CB610}"/>
              </c:ext>
            </c:extLst>
          </c:dPt>
          <c:dPt>
            <c:idx val="1"/>
            <c:bubble3D val="0"/>
            <c:spPr>
              <a:solidFill>
                <a:srgbClr val="8FA8D3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2-CED1-48BB-8CAC-9050D48CB610}"/>
              </c:ext>
            </c:extLst>
          </c:dPt>
          <c:dPt>
            <c:idx val="2"/>
            <c:bubble3D val="0"/>
            <c:spPr>
              <a:solidFill>
                <a:srgbClr val="4A7C3F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CED1-48BB-8CAC-9050D48CB610}"/>
              </c:ext>
            </c:extLst>
          </c:dPt>
          <c:dPt>
            <c:idx val="3"/>
            <c:bubble3D val="0"/>
            <c:spPr>
              <a:solidFill>
                <a:srgbClr val="9FBF87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4-CED1-48BB-8CAC-9050D48CB610}"/>
              </c:ext>
            </c:extLst>
          </c:dPt>
          <c:dPt>
            <c:idx val="4"/>
            <c:bubble3D val="0"/>
            <c:spPr>
              <a:solidFill>
                <a:srgbClr val="A0805C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CED1-48BB-8CAC-9050D48CB610}"/>
              </c:ext>
            </c:extLst>
          </c:dPt>
          <c:dPt>
            <c:idx val="5"/>
            <c:bubble3D val="0"/>
            <c:spPr>
              <a:solidFill>
                <a:srgbClr val="C9B191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6-CED1-48BB-8CAC-9050D48CB610}"/>
              </c:ext>
            </c:extLst>
          </c:dPt>
          <c:dPt>
            <c:idx val="6"/>
            <c:bubble3D val="0"/>
            <c:spPr>
              <a:solidFill>
                <a:srgbClr val="C0611A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CED1-48BB-8CAC-9050D48CB610}"/>
              </c:ext>
            </c:extLst>
          </c:dPt>
          <c:dPt>
            <c:idx val="7"/>
            <c:bubble3D val="0"/>
            <c:spPr>
              <a:solidFill>
                <a:srgbClr val="ED8B22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8-CED1-48BB-8CAC-9050D48CB610}"/>
              </c:ext>
            </c:extLst>
          </c:dPt>
          <c:dPt>
            <c:idx val="8"/>
            <c:bubble3D val="0"/>
            <c:spPr>
              <a:solidFill>
                <a:srgbClr val="4F5B5E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9-CED1-48BB-8CAC-9050D48CB610}"/>
              </c:ext>
            </c:extLst>
          </c:dPt>
          <c:dPt>
            <c:idx val="9"/>
            <c:bubble3D val="0"/>
            <c:spPr>
              <a:solidFill>
                <a:srgbClr val="BFBFBF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A-CED1-48BB-8CAC-9050D48CB610}"/>
              </c:ext>
            </c:extLst>
          </c:dPt>
          <c:dPt>
            <c:idx val="10"/>
            <c:bubble3D val="0"/>
            <c:spPr>
              <a:solidFill>
                <a:srgbClr val="D0402A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B-CED1-48BB-8CAC-9050D48CB610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-456000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CED1-48BB-8CAC-9050D48CB610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-102000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333333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CED1-48BB-8CAC-9050D48CB610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186000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CED1-48BB-8CAC-9050D48CB610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282000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333333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CED1-48BB-8CAC-9050D48CB610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390000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CED1-48BB-8CAC-9050D48CB610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-510000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333333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CED1-48BB-8CAC-9050D48CB610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-348000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CED1-48BB-8CAC-9050D48CB610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-174000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333333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CED1-48BB-8CAC-9050D48CB610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42000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CED1-48BB-8CAC-9050D48CB610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162000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333333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CED1-48BB-8CAC-9050D48CB610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384000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CED1-48BB-8CAC-9050D48CB6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Sheet2!$A$16:$A$26</c:f>
              <c:strCache>
                <c:ptCount val="11"/>
                <c:pt idx="0">
                  <c:v>192 Booked</c:v>
                </c:pt>
                <c:pt idx="1">
                  <c:v>603 Unbooked</c:v>
                </c:pt>
                <c:pt idx="2">
                  <c:v>35 Booked</c:v>
                </c:pt>
                <c:pt idx="3">
                  <c:v>186 Unbooked</c:v>
                </c:pt>
                <c:pt idx="4">
                  <c:v>56 Booked</c:v>
                </c:pt>
                <c:pt idx="5">
                  <c:v>342 Unbooked</c:v>
                </c:pt>
                <c:pt idx="6">
                  <c:v>22 Booked</c:v>
                </c:pt>
                <c:pt idx="7">
                  <c:v>370 Unbooked</c:v>
                </c:pt>
                <c:pt idx="8">
                  <c:v>119 Booked</c:v>
                </c:pt>
                <c:pt idx="9">
                  <c:v>146 Unbooked</c:v>
                </c:pt>
                <c:pt idx="10">
                  <c:v>350 Unbooked</c:v>
                </c:pt>
              </c:strCache>
            </c:strRef>
          </c:cat>
          <c:val>
            <c:numRef>
              <c:f>Sheet2!$B$16:$B$26</c:f>
              <c:numCache>
                <c:formatCode>#,##0</c:formatCode>
                <c:ptCount val="11"/>
                <c:pt idx="0">
                  <c:v>192</c:v>
                </c:pt>
                <c:pt idx="1">
                  <c:v>603</c:v>
                </c:pt>
                <c:pt idx="2">
                  <c:v>35</c:v>
                </c:pt>
                <c:pt idx="3">
                  <c:v>186</c:v>
                </c:pt>
                <c:pt idx="4">
                  <c:v>56</c:v>
                </c:pt>
                <c:pt idx="5">
                  <c:v>342</c:v>
                </c:pt>
                <c:pt idx="6">
                  <c:v>22</c:v>
                </c:pt>
                <c:pt idx="7">
                  <c:v>370</c:v>
                </c:pt>
                <c:pt idx="8">
                  <c:v>119</c:v>
                </c:pt>
                <c:pt idx="9">
                  <c:v>146</c:v>
                </c:pt>
                <c:pt idx="10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D1-48BB-8CAC-9050D48CB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2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6.4792447343382117E-2"/>
          <c:y val="0.17171306514517942"/>
          <c:w val="0.87469803913565858"/>
          <c:h val="0.8282869348548206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33507E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79B8-476B-AF27-4CD693FD5240}"/>
              </c:ext>
            </c:extLst>
          </c:dPt>
          <c:dPt>
            <c:idx val="1"/>
            <c:bubble3D val="0"/>
            <c:spPr>
              <a:solidFill>
                <a:srgbClr val="FFFFFF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2-79B8-476B-AF27-4CD693FD5240}"/>
              </c:ext>
            </c:extLst>
          </c:dPt>
          <c:dPt>
            <c:idx val="2"/>
            <c:bubble3D val="0"/>
            <c:spPr>
              <a:solidFill>
                <a:srgbClr val="4A7C3F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79B8-476B-AF27-4CD693FD5240}"/>
              </c:ext>
            </c:extLst>
          </c:dPt>
          <c:dPt>
            <c:idx val="3"/>
            <c:bubble3D val="0"/>
            <c:spPr>
              <a:solidFill>
                <a:srgbClr val="FFFFFF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4-79B8-476B-AF27-4CD693FD5240}"/>
              </c:ext>
            </c:extLst>
          </c:dPt>
          <c:dPt>
            <c:idx val="4"/>
            <c:bubble3D val="0"/>
            <c:spPr>
              <a:solidFill>
                <a:srgbClr val="A0805C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79B8-476B-AF27-4CD693FD5240}"/>
              </c:ext>
            </c:extLst>
          </c:dPt>
          <c:dPt>
            <c:idx val="5"/>
            <c:bubble3D val="0"/>
            <c:spPr>
              <a:solidFill>
                <a:srgbClr val="FFFFFF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6-79B8-476B-AF27-4CD693FD5240}"/>
              </c:ext>
            </c:extLst>
          </c:dPt>
          <c:dPt>
            <c:idx val="6"/>
            <c:bubble3D val="0"/>
            <c:spPr>
              <a:solidFill>
                <a:srgbClr val="C0611A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79B8-476B-AF27-4CD693FD5240}"/>
              </c:ext>
            </c:extLst>
          </c:dPt>
          <c:dPt>
            <c:idx val="7"/>
            <c:bubble3D val="0"/>
            <c:spPr>
              <a:solidFill>
                <a:srgbClr val="FFFFFF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8-79B8-476B-AF27-4CD693FD5240}"/>
              </c:ext>
            </c:extLst>
          </c:dPt>
          <c:dPt>
            <c:idx val="8"/>
            <c:bubble3D val="0"/>
            <c:spPr>
              <a:solidFill>
                <a:srgbClr val="4F5B5E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9-79B8-476B-AF27-4CD693FD5240}"/>
              </c:ext>
            </c:extLst>
          </c:dPt>
          <c:dPt>
            <c:idx val="9"/>
            <c:bubble3D val="0"/>
            <c:spPr>
              <a:solidFill>
                <a:srgbClr val="FFFFFF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A-79B8-476B-AF27-4CD693FD5240}"/>
              </c:ext>
            </c:extLst>
          </c:dPt>
          <c:dPt>
            <c:idx val="10"/>
            <c:bubble3D val="0"/>
            <c:spPr>
              <a:solidFill>
                <a:srgbClr val="FFFFFF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B-79B8-476B-AF27-4CD693FD5240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-438000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79B8-476B-AF27-4CD693FD5240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79B8-476B-AF27-4CD693FD5240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210000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79B8-476B-AF27-4CD693FD5240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79B8-476B-AF27-4CD693FD5240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432000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79B8-476B-AF27-4CD693FD5240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79B8-476B-AF27-4CD693FD5240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-336000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79B8-476B-AF27-4CD693FD5240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79B8-476B-AF27-4CD693FD5240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48000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79B8-476B-AF27-4CD693FD5240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79B8-476B-AF27-4CD693FD5240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79B8-476B-AF27-4CD693FD52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Sheet2!$A$31:$A$41</c:f>
              <c:strCache>
                <c:ptCount val="11"/>
                <c:pt idx="0">
                  <c:v>233 Tier 1</c:v>
                </c:pt>
                <c:pt idx="1">
                  <c:v>(filler)</c:v>
                </c:pt>
                <c:pt idx="2">
                  <c:v>84 Tier 1</c:v>
                </c:pt>
                <c:pt idx="3">
                  <c:v>(filler)</c:v>
                </c:pt>
                <c:pt idx="4">
                  <c:v>142 Tier 1</c:v>
                </c:pt>
                <c:pt idx="5">
                  <c:v>(filler)</c:v>
                </c:pt>
                <c:pt idx="6">
                  <c:v>56 Tier 1</c:v>
                </c:pt>
                <c:pt idx="7">
                  <c:v>(filler)</c:v>
                </c:pt>
                <c:pt idx="8">
                  <c:v>127 Tier 1</c:v>
                </c:pt>
                <c:pt idx="9">
                  <c:v>(filler)</c:v>
                </c:pt>
                <c:pt idx="10">
                  <c:v>(filler)</c:v>
                </c:pt>
              </c:strCache>
            </c:strRef>
          </c:cat>
          <c:val>
            <c:numRef>
              <c:f>Sheet2!$B$31:$B$41</c:f>
              <c:numCache>
                <c:formatCode>#,##0</c:formatCode>
                <c:ptCount val="11"/>
                <c:pt idx="0">
                  <c:v>233</c:v>
                </c:pt>
                <c:pt idx="1">
                  <c:v>562</c:v>
                </c:pt>
                <c:pt idx="2">
                  <c:v>84</c:v>
                </c:pt>
                <c:pt idx="3">
                  <c:v>137</c:v>
                </c:pt>
                <c:pt idx="4">
                  <c:v>142</c:v>
                </c:pt>
                <c:pt idx="5">
                  <c:v>256</c:v>
                </c:pt>
                <c:pt idx="6">
                  <c:v>56</c:v>
                </c:pt>
                <c:pt idx="7">
                  <c:v>336</c:v>
                </c:pt>
                <c:pt idx="8">
                  <c:v>127</c:v>
                </c:pt>
                <c:pt idx="9">
                  <c:v>138</c:v>
                </c:pt>
                <c:pt idx="10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B8-476B-AF27-4CD693FD52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254000</xdr:colOff>
      <xdr:row>59</xdr:row>
      <xdr:rowOff>61452</xdr:rowOff>
    </xdr:from>
    <xdr:to>
      <xdr:col>9</xdr:col>
      <xdr:colOff>521295</xdr:colOff>
      <xdr:row>79</xdr:row>
      <xdr:rowOff>176078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FC3A19-D548-6915-44FD-99EBCEA6E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11430000"/>
          <a:ext cx="6879489" cy="3801723"/>
        </a:xfrm>
        <a:prstGeom prst="rect">
          <a:avLst/>
        </a:prstGeom>
      </xdr:spPr>
    </xdr:pic>
    <xdr:clientData/>
  </xdr:twoCellAnchor>
  <xdr:twoCellAnchor>
    <xdr:from>
      <xdr:col>0</xdr:col>
      <xdr:colOff>356419</xdr:colOff>
      <xdr:row>16</xdr:row>
      <xdr:rowOff>49161</xdr:rowOff>
    </xdr:from>
    <xdr:to>
      <xdr:col>14</xdr:col>
      <xdr:colOff>356419</xdr:colOff>
      <xdr:row>50</xdr:row>
      <xdr:rowOff>24908</xdr:rowOff>
    </xdr:to>
    <xdr:graphicFrame macro="">
      <xdr:nvGraphicFramePr>
        <xdr:cNvPr id="12" name="AssetPortfolio">
          <a:extLst>
            <a:ext uri="{FF2B5EF4-FFF2-40B4-BE49-F238E27FC236}">
              <a16:creationId xmlns:a16="http://schemas.microsoft.com/office/drawing/2014/main" id="{B1D9D915-57D1-0F0E-377A-E1FB4E7503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619760</xdr:colOff>
      <xdr:row>37</xdr:row>
      <xdr:rowOff>39329</xdr:rowOff>
    </xdr:from>
    <xdr:to>
      <xdr:col>2</xdr:col>
      <xdr:colOff>554212</xdr:colOff>
      <xdr:row>38</xdr:row>
      <xdr:rowOff>96684</xdr:rowOff>
    </xdr:to>
    <xdr:sp macro="" textlink="">
      <xdr:nvSpPr>
        <xdr:cNvPr id="4" name="stage0">
          <a:extLst>
            <a:ext uri="{FF2B5EF4-FFF2-40B4-BE49-F238E27FC236}">
              <a16:creationId xmlns:a16="http://schemas.microsoft.com/office/drawing/2014/main" id="{FD3E16D8-EDC8-73F2-FE87-476F8F04ADAA}"/>
            </a:ext>
          </a:extLst>
        </xdr:cNvPr>
        <xdr:cNvSpPr txBox="1"/>
      </xdr:nvSpPr>
      <xdr:spPr>
        <a:xfrm>
          <a:off x="619760" y="7315200"/>
          <a:ext cx="1778000" cy="254000"/>
        </a:xfrm>
        <a:prstGeom prst="rect">
          <a:avLst/>
        </a:prstGeom>
        <a:noFill/>
        <a:ln>
          <a:noFill/>
        </a:ln>
      </xdr:spPr>
      <xdr:txBody>
        <a:bodyPr vertOverflow="overflow" vert="horz" wrap="square" lIns="0" tIns="0" rIns="0" bIns="0" rtlCol="0" anchor="ctr">
          <a:spAutoFit/>
        </a:bodyPr>
        <a:lstStyle/>
        <a:p>
          <a:pPr algn="ctr"/>
          <a:r>
            <a:rPr kumimoji="0" lang="en-CA" sz="1300" b="0" i="0" u="none" strike="noStrike" kern="0" cap="none" spc="0" normalizeH="0" baseline="0" noProof="0">
              <a:ln>
                <a:noFill/>
              </a:ln>
              <a:solidFill>
                <a:srgbClr val="1F3050"/>
              </a:solidFill>
              <a:effectLst/>
              <a:uLnTx/>
              <a:uFillTx/>
              <a:latin typeface="Arial"/>
              <a:cs typeface="Arial"/>
            </a:rPr>
            <a:t>Exploration</a:t>
          </a:r>
        </a:p>
      </xdr:txBody>
    </xdr:sp>
    <xdr:clientData/>
  </xdr:twoCellAnchor>
  <xdr:twoCellAnchor>
    <xdr:from>
      <xdr:col>3</xdr:col>
      <xdr:colOff>267682</xdr:colOff>
      <xdr:row>37</xdr:row>
      <xdr:rowOff>39329</xdr:rowOff>
    </xdr:from>
    <xdr:to>
      <xdr:col>5</xdr:col>
      <xdr:colOff>730618</xdr:colOff>
      <xdr:row>38</xdr:row>
      <xdr:rowOff>96684</xdr:rowOff>
    </xdr:to>
    <xdr:sp macro="" textlink="">
      <xdr:nvSpPr>
        <xdr:cNvPr id="5" name="stage1">
          <a:extLst>
            <a:ext uri="{FF2B5EF4-FFF2-40B4-BE49-F238E27FC236}">
              <a16:creationId xmlns:a16="http://schemas.microsoft.com/office/drawing/2014/main" id="{96BAACDD-C414-96CB-6C06-A182F3F0F816}"/>
            </a:ext>
          </a:extLst>
        </xdr:cNvPr>
        <xdr:cNvSpPr txBox="1"/>
      </xdr:nvSpPr>
      <xdr:spPr>
        <a:xfrm>
          <a:off x="2811779" y="7315200"/>
          <a:ext cx="1778000" cy="254000"/>
        </a:xfrm>
        <a:prstGeom prst="rect">
          <a:avLst/>
        </a:prstGeom>
        <a:noFill/>
        <a:ln>
          <a:noFill/>
        </a:ln>
      </xdr:spPr>
      <xdr:txBody>
        <a:bodyPr vertOverflow="overflow" vert="horz" wrap="square" lIns="0" tIns="0" rIns="0" bIns="0" rtlCol="0" anchor="ctr">
          <a:spAutoFit/>
        </a:bodyPr>
        <a:lstStyle/>
        <a:p>
          <a:pPr algn="ctr"/>
          <a:r>
            <a:rPr kumimoji="0" lang="en-CA" sz="1300" b="0" i="0" u="none" strike="noStrike" kern="0" cap="none" spc="0" normalizeH="0" baseline="0" noProof="0">
              <a:ln>
                <a:noFill/>
              </a:ln>
              <a:solidFill>
                <a:srgbClr val="1F3050"/>
              </a:solidFill>
              <a:effectLst/>
              <a:uLnTx/>
              <a:uFillTx/>
              <a:latin typeface="Arial"/>
              <a:cs typeface="Arial"/>
            </a:rPr>
            <a:t>Delineation</a:t>
          </a:r>
        </a:p>
      </xdr:txBody>
    </xdr:sp>
    <xdr:clientData/>
  </xdr:twoCellAnchor>
  <xdr:twoCellAnchor>
    <xdr:from>
      <xdr:col>6</xdr:col>
      <xdr:colOff>696329</xdr:colOff>
      <xdr:row>37</xdr:row>
      <xdr:rowOff>39329</xdr:rowOff>
    </xdr:from>
    <xdr:to>
      <xdr:col>9</xdr:col>
      <xdr:colOff>483296</xdr:colOff>
      <xdr:row>38</xdr:row>
      <xdr:rowOff>96684</xdr:rowOff>
    </xdr:to>
    <xdr:sp macro="" textlink="">
      <xdr:nvSpPr>
        <xdr:cNvPr id="6" name="stage2">
          <a:extLst>
            <a:ext uri="{FF2B5EF4-FFF2-40B4-BE49-F238E27FC236}">
              <a16:creationId xmlns:a16="http://schemas.microsoft.com/office/drawing/2014/main" id="{08F9B401-767A-6403-8E19-93EC19931D46}"/>
            </a:ext>
          </a:extLst>
        </xdr:cNvPr>
        <xdr:cNvSpPr txBox="1"/>
      </xdr:nvSpPr>
      <xdr:spPr>
        <a:xfrm>
          <a:off x="5317490" y="7315200"/>
          <a:ext cx="1778000" cy="254000"/>
        </a:xfrm>
        <a:prstGeom prst="rect">
          <a:avLst/>
        </a:prstGeom>
        <a:noFill/>
        <a:ln>
          <a:noFill/>
        </a:ln>
      </xdr:spPr>
      <xdr:txBody>
        <a:bodyPr vertOverflow="overflow" vert="horz" wrap="square" lIns="0" tIns="0" rIns="0" bIns="0" rtlCol="0" anchor="ctr">
          <a:spAutoFit/>
        </a:bodyPr>
        <a:lstStyle/>
        <a:p>
          <a:pPr algn="ctr"/>
          <a:r>
            <a:rPr kumimoji="0" lang="en-CA" sz="1300" b="0" i="0" u="none" strike="noStrike" kern="0" cap="none" spc="0" normalizeH="0" baseline="0" noProof="0">
              <a:ln>
                <a:noFill/>
              </a:ln>
              <a:solidFill>
                <a:srgbClr val="1F3050"/>
              </a:solidFill>
              <a:effectLst/>
              <a:uLnTx/>
              <a:uFillTx/>
              <a:latin typeface="Arial"/>
              <a:cs typeface="Arial"/>
            </a:rPr>
            <a:t>Development</a:t>
          </a:r>
        </a:p>
      </xdr:txBody>
    </xdr:sp>
    <xdr:clientData/>
  </xdr:twoCellAnchor>
  <xdr:twoCellAnchor>
    <xdr:from>
      <xdr:col>10</xdr:col>
      <xdr:colOff>369160</xdr:colOff>
      <xdr:row>37</xdr:row>
      <xdr:rowOff>39329</xdr:rowOff>
    </xdr:from>
    <xdr:to>
      <xdr:col>13</xdr:col>
      <xdr:colOff>303612</xdr:colOff>
      <xdr:row>38</xdr:row>
      <xdr:rowOff>96684</xdr:rowOff>
    </xdr:to>
    <xdr:sp macro="" textlink="">
      <xdr:nvSpPr>
        <xdr:cNvPr id="7" name="stage3">
          <a:extLst>
            <a:ext uri="{FF2B5EF4-FFF2-40B4-BE49-F238E27FC236}">
              <a16:creationId xmlns:a16="http://schemas.microsoft.com/office/drawing/2014/main" id="{9560AE7F-5508-69EE-8917-4F2B75F93BEE}"/>
            </a:ext>
          </a:extLst>
        </xdr:cNvPr>
        <xdr:cNvSpPr txBox="1"/>
      </xdr:nvSpPr>
      <xdr:spPr>
        <a:xfrm>
          <a:off x="7595870" y="7315200"/>
          <a:ext cx="1778000" cy="254000"/>
        </a:xfrm>
        <a:prstGeom prst="rect">
          <a:avLst/>
        </a:prstGeom>
        <a:noFill/>
        <a:ln>
          <a:noFill/>
        </a:ln>
      </xdr:spPr>
      <xdr:txBody>
        <a:bodyPr vertOverflow="overflow" vert="horz" wrap="square" lIns="0" tIns="0" rIns="0" bIns="0" rtlCol="0" anchor="ctr">
          <a:spAutoFit/>
        </a:bodyPr>
        <a:lstStyle/>
        <a:p>
          <a:pPr algn="ctr"/>
          <a:r>
            <a:rPr kumimoji="0" lang="en-CA" sz="1300" b="0" i="0" u="none" strike="noStrike" kern="0" cap="none" spc="0" normalizeH="0" baseline="0" noProof="0">
              <a:ln>
                <a:noFill/>
              </a:ln>
              <a:solidFill>
                <a:srgbClr val="1F3050"/>
              </a:solidFill>
              <a:effectLst/>
              <a:uLnTx/>
              <a:uFillTx/>
              <a:latin typeface="Arial"/>
              <a:cs typeface="Arial"/>
            </a:rPr>
            <a:t>Exploitation</a:t>
          </a:r>
        </a:p>
      </xdr:txBody>
    </xdr:sp>
    <xdr:clientData/>
  </xdr:twoCellAnchor>
  <xdr:twoCellAnchor>
    <xdr:from>
      <xdr:col>9</xdr:col>
      <xdr:colOff>245806</xdr:colOff>
      <xdr:row>32</xdr:row>
      <xdr:rowOff>57355</xdr:rowOff>
    </xdr:from>
    <xdr:to>
      <xdr:col>13</xdr:col>
      <xdr:colOff>327742</xdr:colOff>
      <xdr:row>34</xdr:row>
      <xdr:rowOff>95865</xdr:rowOff>
    </xdr:to>
    <xdr:sp macro="" textlink="">
      <xdr:nvSpPr>
        <xdr:cNvPr id="8" name="note">
          <a:extLst>
            <a:ext uri="{FF2B5EF4-FFF2-40B4-BE49-F238E27FC236}">
              <a16:creationId xmlns:a16="http://schemas.microsoft.com/office/drawing/2014/main" id="{0DBFDDE9-447C-721D-2371-A749647B862E}"/>
            </a:ext>
          </a:extLst>
        </xdr:cNvPr>
        <xdr:cNvSpPr txBox="1"/>
      </xdr:nvSpPr>
      <xdr:spPr>
        <a:xfrm>
          <a:off x="6858000" y="6350000"/>
          <a:ext cx="2540000" cy="431800"/>
        </a:xfrm>
        <a:prstGeom prst="rect">
          <a:avLst/>
        </a:prstGeom>
        <a:noFill/>
        <a:ln>
          <a:noFill/>
        </a:ln>
      </xdr:spPr>
      <xdr:txBody>
        <a:bodyPr vertOverflow="overflow" vert="horz" wrap="square" lIns="0" tIns="0" rIns="0" bIns="0" rtlCol="0" anchor="ctr">
          <a:spAutoFit/>
        </a:bodyPr>
        <a:lstStyle/>
        <a:p>
          <a:pPr algn="just"/>
          <a:r>
            <a:rPr kumimoji="0" lang="en-CA" sz="950" b="1" i="1" u="none" strike="noStrike" kern="0" cap="none" spc="0" normalizeH="0" baseline="0" noProof="0">
              <a:ln>
                <a:noFill/>
              </a:ln>
              <a:solidFill>
                <a:srgbClr val="1F3050"/>
              </a:solidFill>
              <a:effectLst/>
              <a:uLnTx/>
              <a:uFillTx/>
              <a:latin typeface="Arial"/>
              <a:cs typeface="Arial"/>
            </a:rPr>
            <a:t>Bubble sizes indicate relative
scale of total drilling inventory</a:t>
          </a:r>
        </a:p>
      </xdr:txBody>
    </xdr:sp>
    <xdr:clientData/>
  </xdr:twoCellAnchor>
  <xdr:twoCellAnchor>
    <xdr:from>
      <xdr:col>11</xdr:col>
      <xdr:colOff>286774</xdr:colOff>
      <xdr:row>10</xdr:row>
      <xdr:rowOff>14748</xdr:rowOff>
    </xdr:from>
    <xdr:to>
      <xdr:col>14</xdr:col>
      <xdr:colOff>94226</xdr:colOff>
      <xdr:row>11</xdr:row>
      <xdr:rowOff>72103</xdr:rowOff>
    </xdr:to>
    <xdr:sp macro="" textlink="">
      <xdr:nvSpPr>
        <xdr:cNvPr id="9" name="logoT">
          <a:extLst>
            <a:ext uri="{FF2B5EF4-FFF2-40B4-BE49-F238E27FC236}">
              <a16:creationId xmlns:a16="http://schemas.microsoft.com/office/drawing/2014/main" id="{71E35233-3737-CEE1-55C8-6E47F237DA79}"/>
            </a:ext>
          </a:extLst>
        </xdr:cNvPr>
        <xdr:cNvSpPr txBox="1"/>
      </xdr:nvSpPr>
      <xdr:spPr>
        <a:xfrm>
          <a:off x="8128000" y="1981200"/>
          <a:ext cx="1651000" cy="254000"/>
        </a:xfrm>
        <a:prstGeom prst="rect">
          <a:avLst/>
        </a:prstGeom>
        <a:noFill/>
        <a:ln>
          <a:noFill/>
        </a:ln>
      </xdr:spPr>
      <xdr:txBody>
        <a:bodyPr vertOverflow="overflow" vert="horz" wrap="square" lIns="0" tIns="0" rIns="0" bIns="0" rtlCol="0" anchor="ctr">
          <a:spAutoFit/>
        </a:bodyPr>
        <a:lstStyle/>
        <a:p>
          <a:pPr algn="l"/>
          <a:r>
            <a:rPr kumimoji="0" lang="en-CA" sz="1400" b="1" i="0" u="none" strike="noStrike" kern="0" cap="none" spc="0" normalizeH="0" baseline="0" noProof="0">
              <a:ln>
                <a:noFill/>
              </a:ln>
              <a:solidFill>
                <a:srgbClr val="1F3050"/>
              </a:solidFill>
              <a:effectLst/>
              <a:uLnTx/>
              <a:uFillTx/>
              <a:latin typeface="Arial"/>
              <a:cs typeface="Arial"/>
            </a:rPr>
            <a:t>ADVANTAGE</a:t>
          </a:r>
        </a:p>
      </xdr:txBody>
    </xdr:sp>
    <xdr:clientData/>
  </xdr:twoCellAnchor>
  <xdr:twoCellAnchor>
    <xdr:from>
      <xdr:col>11</xdr:col>
      <xdr:colOff>286774</xdr:colOff>
      <xdr:row>11</xdr:row>
      <xdr:rowOff>46703</xdr:rowOff>
    </xdr:from>
    <xdr:to>
      <xdr:col>14</xdr:col>
      <xdr:colOff>94226</xdr:colOff>
      <xdr:row>12</xdr:row>
      <xdr:rowOff>2458</xdr:rowOff>
    </xdr:to>
    <xdr:sp macro="" textlink="">
      <xdr:nvSpPr>
        <xdr:cNvPr id="10" name="logoS">
          <a:extLst>
            <a:ext uri="{FF2B5EF4-FFF2-40B4-BE49-F238E27FC236}">
              <a16:creationId xmlns:a16="http://schemas.microsoft.com/office/drawing/2014/main" id="{E342B8B0-22C9-E996-D8FA-52855E5F9401}"/>
            </a:ext>
          </a:extLst>
        </xdr:cNvPr>
        <xdr:cNvSpPr txBox="1"/>
      </xdr:nvSpPr>
      <xdr:spPr>
        <a:xfrm>
          <a:off x="8128000" y="2209800"/>
          <a:ext cx="1651000" cy="152400"/>
        </a:xfrm>
        <a:prstGeom prst="rect">
          <a:avLst/>
        </a:prstGeom>
        <a:noFill/>
        <a:ln>
          <a:noFill/>
        </a:ln>
      </xdr:spPr>
      <xdr:txBody>
        <a:bodyPr vertOverflow="overflow" vert="horz" wrap="square" lIns="0" tIns="0" rIns="0" bIns="0" rtlCol="0" anchor="ctr">
          <a:spAutoFit/>
        </a:bodyPr>
        <a:lstStyle/>
        <a:p>
          <a:pPr algn="l"/>
          <a:r>
            <a:rPr kumimoji="0" lang="en-CA" sz="650" b="0" i="0" u="none" strike="noStrike" kern="0" cap="none" spc="0" normalizeH="0" baseline="0" noProof="0">
              <a:ln>
                <a:noFill/>
              </a:ln>
              <a:solidFill>
                <a:srgbClr val="1F3050"/>
              </a:solidFill>
              <a:effectLst/>
              <a:uLnTx/>
              <a:uFillTx/>
              <a:latin typeface="Arial"/>
              <a:cs typeface="Arial"/>
            </a:rPr>
            <a:t>E N E R G Y   L T D.</a:t>
          </a:r>
        </a:p>
      </xdr:txBody>
    </xdr:sp>
    <xdr:clientData/>
  </xdr:twoCellAnchor>
  <xdr:twoCellAnchor>
    <xdr:from>
      <xdr:col>10</xdr:col>
      <xdr:colOff>545690</xdr:colOff>
      <xdr:row>9</xdr:row>
      <xdr:rowOff>160594</xdr:rowOff>
    </xdr:from>
    <xdr:to>
      <xdr:col>11</xdr:col>
      <xdr:colOff>312174</xdr:colOff>
      <xdr:row>11</xdr:row>
      <xdr:rowOff>148303</xdr:rowOff>
    </xdr:to>
    <xdr:sp macro="" textlink="">
      <xdr:nvSpPr>
        <xdr:cNvPr id="11" name="logoM">
          <a:extLst>
            <a:ext uri="{FF2B5EF4-FFF2-40B4-BE49-F238E27FC236}">
              <a16:creationId xmlns:a16="http://schemas.microsoft.com/office/drawing/2014/main" id="{C9EAC445-90DA-220F-A464-3955B5CDBC03}"/>
            </a:ext>
          </a:extLst>
        </xdr:cNvPr>
        <xdr:cNvSpPr txBox="1"/>
      </xdr:nvSpPr>
      <xdr:spPr>
        <a:xfrm>
          <a:off x="7772400" y="1930400"/>
          <a:ext cx="381000" cy="381000"/>
        </a:xfrm>
        <a:prstGeom prst="rect">
          <a:avLst/>
        </a:prstGeom>
        <a:noFill/>
        <a:ln>
          <a:noFill/>
        </a:ln>
      </xdr:spPr>
      <xdr:txBody>
        <a:bodyPr vertOverflow="overflow" vert="horz" wrap="square" lIns="0" tIns="0" rIns="0" bIns="0" rtlCol="0" anchor="ctr">
          <a:spAutoFit/>
        </a:bodyPr>
        <a:lstStyle/>
        <a:p>
          <a:pPr algn="ctr"/>
          <a:r>
            <a:rPr kumimoji="0" lang="en-CA" sz="2200" b="1" i="0" u="none" strike="noStrike" kern="0" cap="none" spc="0" normalizeH="0" baseline="0" noProof="0">
              <a:ln>
                <a:noFill/>
              </a:ln>
              <a:solidFill>
                <a:srgbClr val="E8452B"/>
              </a:solidFill>
              <a:effectLst/>
              <a:uLnTx/>
              <a:uFillTx/>
              <a:latin typeface="Arial"/>
              <a:cs typeface="Arial"/>
            </a:rPr>
            <a:t>◗</a:t>
          </a:r>
        </a:p>
      </xdr:txBody>
    </xdr:sp>
    <xdr:clientData/>
  </xdr:twoCellAnchor>
  <xdr:twoCellAnchor>
    <xdr:from>
      <xdr:col>4</xdr:col>
      <xdr:colOff>527255</xdr:colOff>
      <xdr:row>38</xdr:row>
      <xdr:rowOff>172884</xdr:rowOff>
    </xdr:from>
    <xdr:to>
      <xdr:col>8</xdr:col>
      <xdr:colOff>314223</xdr:colOff>
      <xdr:row>40</xdr:row>
      <xdr:rowOff>58994</xdr:rowOff>
    </xdr:to>
    <xdr:sp macro="" textlink="">
      <xdr:nvSpPr>
        <xdr:cNvPr id="13" name="xtitle">
          <a:extLst>
            <a:ext uri="{FF2B5EF4-FFF2-40B4-BE49-F238E27FC236}">
              <a16:creationId xmlns:a16="http://schemas.microsoft.com/office/drawing/2014/main" id="{A593C219-16FA-8C1D-B3E2-41660762616A}"/>
            </a:ext>
          </a:extLst>
        </xdr:cNvPr>
        <xdr:cNvSpPr txBox="1"/>
      </xdr:nvSpPr>
      <xdr:spPr>
        <a:xfrm>
          <a:off x="3771900" y="7645400"/>
          <a:ext cx="2540000" cy="279400"/>
        </a:xfrm>
        <a:prstGeom prst="rect">
          <a:avLst/>
        </a:prstGeom>
        <a:noFill/>
        <a:ln>
          <a:noFill/>
        </a:ln>
      </xdr:spPr>
      <xdr:txBody>
        <a:bodyPr vertOverflow="overflow" vert="horz" wrap="square" lIns="0" tIns="0" rIns="0" bIns="0" rtlCol="0" anchor="ctr">
          <a:spAutoFit/>
        </a:bodyPr>
        <a:lstStyle/>
        <a:p>
          <a:pPr algn="ctr"/>
          <a:r>
            <a:rPr kumimoji="0" lang="en-CA" sz="1400" b="1" i="0" u="none" strike="noStrike" kern="0" cap="none" spc="0" normalizeH="0" baseline="0" noProof="0">
              <a:ln>
                <a:noFill/>
              </a:ln>
              <a:solidFill>
                <a:srgbClr val="1F3050"/>
              </a:solidFill>
              <a:effectLst/>
              <a:uLnTx/>
              <a:uFillTx/>
              <a:latin typeface="Arial"/>
              <a:cs typeface="Arial"/>
            </a:rPr>
            <a:t>Play Evolution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213973</xdr:colOff>
      <xdr:row>19</xdr:row>
      <xdr:rowOff>122265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36DB50-D5A7-E606-CD53-8CADAB3A8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071973" cy="3985605"/>
        </a:xfrm>
        <a:prstGeom prst="rect">
          <a:avLst/>
        </a:prstGeom>
      </xdr:spPr>
    </xdr:pic>
    <xdr:clientData/>
  </xdr:twoCellAnchor>
  <xdr:twoCellAnchor>
    <xdr:from>
      <xdr:col>6</xdr:col>
      <xdr:colOff>381000</xdr:colOff>
      <xdr:row>1</xdr:row>
      <xdr:rowOff>33019</xdr:rowOff>
    </xdr:from>
    <xdr:to>
      <xdr:col>19</xdr:col>
      <xdr:colOff>330200</xdr:colOff>
      <xdr:row>42</xdr:row>
      <xdr:rowOff>58419</xdr:rowOff>
    </xdr:to>
    <xdr:graphicFrame macro="">
      <xdr:nvGraphicFramePr>
        <xdr:cNvPr id="5" name="OuterRing">
          <a:extLst>
            <a:ext uri="{FF2B5EF4-FFF2-40B4-BE49-F238E27FC236}">
              <a16:creationId xmlns:a16="http://schemas.microsoft.com/office/drawing/2014/main" id="{8FA4F2A6-572C-EBE5-53CC-7DEF2B71D8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127000</xdr:colOff>
      <xdr:row>1</xdr:row>
      <xdr:rowOff>33019</xdr:rowOff>
    </xdr:from>
    <xdr:to>
      <xdr:col>29</xdr:col>
      <xdr:colOff>76200</xdr:colOff>
      <xdr:row>42</xdr:row>
      <xdr:rowOff>58419</xdr:rowOff>
    </xdr:to>
    <xdr:graphicFrame macro="">
      <xdr:nvGraphicFramePr>
        <xdr:cNvPr id="7" name="InnerRing">
          <a:extLst>
            <a:ext uri="{FF2B5EF4-FFF2-40B4-BE49-F238E27FC236}">
              <a16:creationId xmlns:a16="http://schemas.microsoft.com/office/drawing/2014/main" id="{D951D1F4-629A-2A26-536B-230E5B22A9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AD0678F-9620-450F-B11D-3B58B977859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e26e5da-74ba-4db3-ae00-656024bcd18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0F5B1-20D6-424A-9A9E-5B97374913F6}">
  <dimension ref="A1:H40"/>
  <sheetViews>
    <sheetView zoomScale="62" workbookViewId="0">
      <selection activeCell="Q22" sqref="Q22"/>
    </sheetView>
  </sheetViews>
  <sheetFormatPr defaultRowHeight="14.4" x14ac:dyDescent="0.3"/>
  <cols>
    <col min="1" max="1" width="16.6640625" customWidth="1"/>
    <col min="2" max="4" width="10.21875" customWidth="1"/>
    <col min="6" max="7" width="11.109375" customWidth="1"/>
  </cols>
  <sheetData>
    <row r="1" spans="1:8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F1" s="1" t="s">
        <v>11</v>
      </c>
      <c r="G1" s="1" t="s">
        <v>12</v>
      </c>
      <c r="H1" s="1" t="s">
        <v>13</v>
      </c>
    </row>
    <row r="2" spans="1:8" ht="15" customHeight="1" x14ac:dyDescent="0.3">
      <c r="A2" t="s">
        <v>4</v>
      </c>
      <c r="B2">
        <v>2.5299999999999998</v>
      </c>
      <c r="C2">
        <v>1.98</v>
      </c>
      <c r="D2">
        <v>1</v>
      </c>
      <c r="F2">
        <v>0.7</v>
      </c>
      <c r="G2">
        <v>1.1499999999999999</v>
      </c>
      <c r="H2">
        <v>1E-4</v>
      </c>
    </row>
    <row r="3" spans="1:8" ht="15" customHeight="1" x14ac:dyDescent="0.3">
      <c r="A3" t="s">
        <v>5</v>
      </c>
      <c r="B3">
        <v>3.41</v>
      </c>
      <c r="C3">
        <v>2.92</v>
      </c>
      <c r="D3">
        <v>3.5</v>
      </c>
      <c r="F3">
        <v>1.5</v>
      </c>
      <c r="G3">
        <v>1.35</v>
      </c>
      <c r="H3">
        <v>1E-4</v>
      </c>
    </row>
    <row r="4" spans="1:8" ht="15" customHeight="1" x14ac:dyDescent="0.3">
      <c r="A4" t="s">
        <v>6</v>
      </c>
      <c r="B4">
        <v>4.7300000000000004</v>
      </c>
      <c r="C4">
        <v>4.79</v>
      </c>
      <c r="D4">
        <v>3.3</v>
      </c>
      <c r="F4">
        <v>2</v>
      </c>
      <c r="G4">
        <v>1.6</v>
      </c>
      <c r="H4">
        <v>1E-4</v>
      </c>
    </row>
    <row r="5" spans="1:8" ht="15" customHeight="1" x14ac:dyDescent="0.3">
      <c r="A5" t="s">
        <v>7</v>
      </c>
      <c r="B5">
        <v>5.74</v>
      </c>
      <c r="C5">
        <v>6.46</v>
      </c>
      <c r="D5">
        <v>4</v>
      </c>
      <c r="F5">
        <v>2.5299999999999998</v>
      </c>
      <c r="G5">
        <v>1.98</v>
      </c>
      <c r="H5">
        <v>1E-4</v>
      </c>
    </row>
    <row r="6" spans="1:8" ht="15" customHeight="1" x14ac:dyDescent="0.3">
      <c r="A6" t="s">
        <v>8</v>
      </c>
      <c r="B6">
        <v>6.42</v>
      </c>
      <c r="C6">
        <v>7.02</v>
      </c>
      <c r="D6">
        <v>2.7</v>
      </c>
      <c r="F6">
        <v>3.41</v>
      </c>
      <c r="G6">
        <v>2.92</v>
      </c>
      <c r="H6">
        <v>1E-4</v>
      </c>
    </row>
    <row r="7" spans="1:8" ht="15" customHeight="1" x14ac:dyDescent="0.3">
      <c r="A7" t="s">
        <v>9</v>
      </c>
      <c r="B7">
        <v>6.86</v>
      </c>
      <c r="C7">
        <v>7.67</v>
      </c>
      <c r="D7">
        <v>1.9</v>
      </c>
      <c r="F7">
        <v>4.7300000000000004</v>
      </c>
      <c r="G7">
        <v>4.79</v>
      </c>
      <c r="H7">
        <v>1E-4</v>
      </c>
    </row>
    <row r="8" spans="1:8" ht="15" customHeight="1" x14ac:dyDescent="0.3">
      <c r="A8" t="s">
        <v>10</v>
      </c>
      <c r="B8">
        <v>8.1300000000000008</v>
      </c>
      <c r="C8">
        <v>8.4</v>
      </c>
      <c r="D8">
        <v>10.1</v>
      </c>
      <c r="F8">
        <v>5.74</v>
      </c>
      <c r="G8">
        <v>6.46</v>
      </c>
      <c r="H8">
        <v>1E-4</v>
      </c>
    </row>
    <row r="9" spans="1:8" ht="15" customHeight="1" x14ac:dyDescent="0.3">
      <c r="F9">
        <v>6.42</v>
      </c>
      <c r="G9">
        <v>7.02</v>
      </c>
      <c r="H9">
        <v>1E-4</v>
      </c>
    </row>
    <row r="10" spans="1:8" ht="15" customHeight="1" x14ac:dyDescent="0.3">
      <c r="F10">
        <v>6.86</v>
      </c>
      <c r="G10">
        <v>7.67</v>
      </c>
      <c r="H10">
        <v>1E-4</v>
      </c>
    </row>
    <row r="11" spans="1:8" ht="15" customHeight="1" x14ac:dyDescent="0.3">
      <c r="F11">
        <v>8.1300000000000008</v>
      </c>
      <c r="G11">
        <v>8.4</v>
      </c>
      <c r="H11">
        <v>1E-4</v>
      </c>
    </row>
    <row r="12" spans="1:8" ht="15" customHeight="1" x14ac:dyDescent="0.3">
      <c r="F12">
        <v>9</v>
      </c>
      <c r="G12">
        <v>8.75</v>
      </c>
      <c r="H12">
        <v>1E-4</v>
      </c>
    </row>
    <row r="13" spans="1:8" ht="15" customHeight="1" x14ac:dyDescent="0.3">
      <c r="F13">
        <v>9.8000000000000007</v>
      </c>
      <c r="G13">
        <v>8.9499999999999993</v>
      </c>
      <c r="H13">
        <v>1E-4</v>
      </c>
    </row>
    <row r="14" spans="1:8" ht="15" customHeight="1" x14ac:dyDescent="0.3"/>
    <row r="15" spans="1:8" ht="15" customHeight="1" x14ac:dyDescent="0.3"/>
    <row r="16" spans="1:8" ht="15" customHeight="1" x14ac:dyDescent="0.3"/>
    <row r="17" ht="15" customHeight="1" x14ac:dyDescent="0.3"/>
    <row r="18" ht="15" customHeight="1" x14ac:dyDescent="0.3"/>
    <row r="19" ht="15" customHeight="1" x14ac:dyDescent="0.3"/>
    <row r="20" ht="15" customHeight="1" x14ac:dyDescent="0.3"/>
    <row r="21" ht="15" customHeight="1" x14ac:dyDescent="0.3"/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  <row r="30" ht="15" customHeight="1" x14ac:dyDescent="0.3"/>
    <row r="31" ht="15" customHeight="1" x14ac:dyDescent="0.3"/>
    <row r="32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  <row r="38" ht="15" customHeight="1" x14ac:dyDescent="0.3"/>
    <row r="39" ht="15" customHeight="1" x14ac:dyDescent="0.3"/>
    <row r="40" ht="15" customHeight="1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496B8-4ACE-463F-945A-3DAA3060925E}">
  <dimension ref="A1:F43"/>
  <sheetViews>
    <sheetView tabSelected="1" zoomScale="59" workbookViewId="0">
      <selection activeCell="P51" sqref="P51"/>
    </sheetView>
  </sheetViews>
  <sheetFormatPr defaultRowHeight="14.4" x14ac:dyDescent="0.3"/>
  <cols>
    <col min="1" max="1" width="27.77734375" customWidth="1"/>
    <col min="2" max="6" width="14.44140625" customWidth="1"/>
  </cols>
  <sheetData>
    <row r="1" spans="1:6" ht="17.399999999999999" x14ac:dyDescent="0.3">
      <c r="A1" s="2" t="s">
        <v>14</v>
      </c>
      <c r="B1" s="4"/>
      <c r="C1" s="4"/>
      <c r="D1" s="4"/>
      <c r="E1" s="4"/>
      <c r="F1" s="4"/>
    </row>
    <row r="2" spans="1:6" x14ac:dyDescent="0.3">
      <c r="A2" s="5" t="s">
        <v>15</v>
      </c>
      <c r="B2" s="4"/>
      <c r="C2" s="4"/>
      <c r="D2" s="4"/>
      <c r="E2" s="4"/>
      <c r="F2" s="4"/>
    </row>
    <row r="3" spans="1:6" x14ac:dyDescent="0.3">
      <c r="A3" s="4"/>
      <c r="B3" s="4"/>
      <c r="C3" s="4"/>
      <c r="D3" s="4"/>
      <c r="E3" s="4"/>
      <c r="F3" s="4"/>
    </row>
    <row r="4" spans="1:6" ht="42" x14ac:dyDescent="0.3">
      <c r="A4" s="6" t="s">
        <v>0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</row>
    <row r="5" spans="1:6" x14ac:dyDescent="0.3">
      <c r="A5" s="4" t="s">
        <v>10</v>
      </c>
      <c r="B5" s="7">
        <v>192</v>
      </c>
      <c r="C5" s="7">
        <v>603</v>
      </c>
      <c r="D5" s="7">
        <f>B5+C5</f>
        <v>795</v>
      </c>
      <c r="E5" s="7">
        <v>233</v>
      </c>
      <c r="F5" s="7">
        <v>15</v>
      </c>
    </row>
    <row r="6" spans="1:6" x14ac:dyDescent="0.3">
      <c r="A6" s="4" t="s">
        <v>9</v>
      </c>
      <c r="B6" s="7">
        <v>35</v>
      </c>
      <c r="C6" s="7">
        <v>186</v>
      </c>
      <c r="D6" s="7">
        <f>B6+C6</f>
        <v>221</v>
      </c>
      <c r="E6" s="7">
        <v>84</v>
      </c>
      <c r="F6" s="7">
        <v>3</v>
      </c>
    </row>
    <row r="7" spans="1:6" x14ac:dyDescent="0.3">
      <c r="A7" s="4" t="s">
        <v>7</v>
      </c>
      <c r="B7" s="7">
        <v>56</v>
      </c>
      <c r="C7" s="7">
        <v>342</v>
      </c>
      <c r="D7" s="7">
        <f>B7+C7</f>
        <v>398</v>
      </c>
      <c r="E7" s="7">
        <v>142</v>
      </c>
      <c r="F7" s="7">
        <v>0</v>
      </c>
    </row>
    <row r="8" spans="1:6" x14ac:dyDescent="0.3">
      <c r="A8" s="4" t="s">
        <v>5</v>
      </c>
      <c r="B8" s="7">
        <v>22</v>
      </c>
      <c r="C8" s="7">
        <v>370</v>
      </c>
      <c r="D8" s="7">
        <f>B8+C8</f>
        <v>392</v>
      </c>
      <c r="E8" s="7">
        <v>56</v>
      </c>
      <c r="F8" s="7">
        <v>2</v>
      </c>
    </row>
    <row r="9" spans="1:6" x14ac:dyDescent="0.3">
      <c r="A9" s="4" t="s">
        <v>8</v>
      </c>
      <c r="B9" s="7">
        <v>119</v>
      </c>
      <c r="C9" s="7">
        <v>146</v>
      </c>
      <c r="D9" s="7">
        <f>B9+C9</f>
        <v>265</v>
      </c>
      <c r="E9" s="7">
        <v>127</v>
      </c>
      <c r="F9" s="7">
        <v>6</v>
      </c>
    </row>
    <row r="10" spans="1:6" x14ac:dyDescent="0.3">
      <c r="A10" s="4" t="s">
        <v>21</v>
      </c>
      <c r="B10" s="7">
        <v>0</v>
      </c>
      <c r="C10" s="7">
        <v>350</v>
      </c>
      <c r="D10" s="7">
        <f>B10+C10</f>
        <v>350</v>
      </c>
      <c r="E10" s="7">
        <v>0</v>
      </c>
      <c r="F10" s="7">
        <v>0</v>
      </c>
    </row>
    <row r="11" spans="1:6" x14ac:dyDescent="0.3">
      <c r="A11" s="8" t="s">
        <v>22</v>
      </c>
      <c r="B11" s="9">
        <f>SUM(B5:B10)</f>
        <v>424</v>
      </c>
      <c r="C11" s="9">
        <f>SUM(C5:C10)</f>
        <v>1997</v>
      </c>
      <c r="D11" s="9">
        <f>SUM(D5:D10)</f>
        <v>2421</v>
      </c>
      <c r="E11" s="9">
        <f>SUM(E5:E10)</f>
        <v>642</v>
      </c>
      <c r="F11" s="9">
        <f>SUM(F5:F10)</f>
        <v>26</v>
      </c>
    </row>
    <row r="12" spans="1:6" x14ac:dyDescent="0.3">
      <c r="A12" s="4"/>
      <c r="B12" s="4"/>
      <c r="C12" s="4"/>
      <c r="D12" s="4"/>
      <c r="E12" s="4"/>
      <c r="F12" s="4"/>
    </row>
    <row r="13" spans="1:6" x14ac:dyDescent="0.3">
      <c r="A13" s="4"/>
      <c r="B13" s="4"/>
      <c r="C13" s="4"/>
      <c r="D13" s="4"/>
      <c r="E13" s="4"/>
      <c r="F13" s="4"/>
    </row>
    <row r="14" spans="1:6" x14ac:dyDescent="0.3">
      <c r="A14" s="10" t="s">
        <v>23</v>
      </c>
      <c r="B14" s="4"/>
      <c r="C14" s="4"/>
      <c r="D14" s="4"/>
      <c r="E14" s="4"/>
      <c r="F14" s="4"/>
    </row>
    <row r="15" spans="1:6" x14ac:dyDescent="0.3">
      <c r="A15" s="10" t="s">
        <v>24</v>
      </c>
      <c r="B15" s="10" t="s">
        <v>25</v>
      </c>
      <c r="C15" s="4"/>
      <c r="D15" s="4"/>
      <c r="E15" s="4"/>
      <c r="F15" s="4"/>
    </row>
    <row r="16" spans="1:6" x14ac:dyDescent="0.3">
      <c r="A16" s="4" t="s">
        <v>26</v>
      </c>
      <c r="B16" s="7">
        <f>B5</f>
        <v>192</v>
      </c>
      <c r="C16" s="4"/>
      <c r="D16" s="4"/>
      <c r="E16" s="4"/>
      <c r="F16" s="4"/>
    </row>
    <row r="17" spans="1:6" x14ac:dyDescent="0.3">
      <c r="A17" s="4" t="s">
        <v>27</v>
      </c>
      <c r="B17" s="7">
        <f>C5</f>
        <v>603</v>
      </c>
      <c r="C17" s="4"/>
      <c r="D17" s="4"/>
      <c r="E17" s="4"/>
      <c r="F17" s="4"/>
    </row>
    <row r="18" spans="1:6" x14ac:dyDescent="0.3">
      <c r="A18" s="4" t="s">
        <v>28</v>
      </c>
      <c r="B18" s="7">
        <f>B6</f>
        <v>35</v>
      </c>
      <c r="C18" s="4"/>
      <c r="D18" s="4"/>
      <c r="E18" s="4"/>
      <c r="F18" s="4"/>
    </row>
    <row r="19" spans="1:6" x14ac:dyDescent="0.3">
      <c r="A19" s="4" t="s">
        <v>29</v>
      </c>
      <c r="B19" s="7">
        <f>C6</f>
        <v>186</v>
      </c>
      <c r="C19" s="4"/>
      <c r="D19" s="4"/>
      <c r="E19" s="4"/>
      <c r="F19" s="4"/>
    </row>
    <row r="20" spans="1:6" x14ac:dyDescent="0.3">
      <c r="A20" s="4" t="s">
        <v>30</v>
      </c>
      <c r="B20" s="7">
        <f>B7</f>
        <v>56</v>
      </c>
      <c r="C20" s="4"/>
      <c r="D20" s="4"/>
      <c r="E20" s="4"/>
      <c r="F20" s="4"/>
    </row>
    <row r="21" spans="1:6" x14ac:dyDescent="0.3">
      <c r="A21" s="4" t="s">
        <v>31</v>
      </c>
      <c r="B21" s="7">
        <f>C7</f>
        <v>342</v>
      </c>
      <c r="C21" s="4"/>
      <c r="D21" s="4"/>
      <c r="E21" s="4"/>
      <c r="F21" s="4"/>
    </row>
    <row r="22" spans="1:6" x14ac:dyDescent="0.3">
      <c r="A22" s="4" t="s">
        <v>32</v>
      </c>
      <c r="B22" s="7">
        <f>B8</f>
        <v>22</v>
      </c>
      <c r="C22" s="4"/>
      <c r="D22" s="4"/>
      <c r="E22" s="4"/>
      <c r="F22" s="4"/>
    </row>
    <row r="23" spans="1:6" x14ac:dyDescent="0.3">
      <c r="A23" s="4" t="s">
        <v>33</v>
      </c>
      <c r="B23" s="7">
        <f>C8</f>
        <v>370</v>
      </c>
      <c r="C23" s="4"/>
      <c r="D23" s="4"/>
      <c r="E23" s="4"/>
      <c r="F23" s="4"/>
    </row>
    <row r="24" spans="1:6" x14ac:dyDescent="0.3">
      <c r="A24" s="4" t="s">
        <v>34</v>
      </c>
      <c r="B24" s="7">
        <f>B9</f>
        <v>119</v>
      </c>
      <c r="C24" s="4"/>
      <c r="D24" s="4"/>
      <c r="E24" s="4"/>
      <c r="F24" s="4"/>
    </row>
    <row r="25" spans="1:6" x14ac:dyDescent="0.3">
      <c r="A25" s="4" t="s">
        <v>35</v>
      </c>
      <c r="B25" s="7">
        <f>C9</f>
        <v>146</v>
      </c>
      <c r="C25" s="4"/>
      <c r="D25" s="4"/>
      <c r="E25" s="4"/>
      <c r="F25" s="4"/>
    </row>
    <row r="26" spans="1:6" x14ac:dyDescent="0.3">
      <c r="A26" s="4" t="s">
        <v>36</v>
      </c>
      <c r="B26" s="7">
        <f>C10</f>
        <v>350</v>
      </c>
      <c r="C26" s="4"/>
      <c r="D26" s="4"/>
      <c r="E26" s="4"/>
      <c r="F26" s="4"/>
    </row>
    <row r="27" spans="1:6" x14ac:dyDescent="0.3">
      <c r="A27" s="4"/>
      <c r="B27" s="4"/>
      <c r="C27" s="4"/>
      <c r="D27" s="4"/>
      <c r="E27" s="4"/>
      <c r="F27" s="4"/>
    </row>
    <row r="28" spans="1:6" x14ac:dyDescent="0.3">
      <c r="A28" s="4"/>
      <c r="B28" s="4"/>
      <c r="C28" s="4"/>
      <c r="D28" s="4"/>
      <c r="E28" s="4"/>
      <c r="F28" s="4"/>
    </row>
    <row r="29" spans="1:6" x14ac:dyDescent="0.3">
      <c r="A29" s="10" t="s">
        <v>42</v>
      </c>
      <c r="B29" s="4"/>
      <c r="C29" s="4"/>
      <c r="D29" s="4"/>
      <c r="E29" s="4"/>
      <c r="F29" s="4"/>
    </row>
    <row r="30" spans="1:6" x14ac:dyDescent="0.3">
      <c r="A30" s="10" t="s">
        <v>24</v>
      </c>
      <c r="B30" s="10" t="s">
        <v>25</v>
      </c>
      <c r="C30" s="4"/>
      <c r="D30" s="4"/>
      <c r="E30" s="4"/>
      <c r="F30" s="4"/>
    </row>
    <row r="31" spans="1:6" x14ac:dyDescent="0.3">
      <c r="A31" s="4" t="s">
        <v>37</v>
      </c>
      <c r="B31" s="7">
        <f>E5</f>
        <v>233</v>
      </c>
      <c r="C31" s="4"/>
      <c r="D31" s="4"/>
      <c r="E31" s="4"/>
      <c r="F31" s="4"/>
    </row>
    <row r="32" spans="1:6" x14ac:dyDescent="0.3">
      <c r="A32" s="4" t="s">
        <v>43</v>
      </c>
      <c r="B32" s="7">
        <f>D5-E5</f>
        <v>562</v>
      </c>
      <c r="C32" s="4"/>
      <c r="D32" s="4"/>
      <c r="E32" s="4"/>
      <c r="F32" s="4"/>
    </row>
    <row r="33" spans="1:6" x14ac:dyDescent="0.3">
      <c r="A33" s="4" t="s">
        <v>38</v>
      </c>
      <c r="B33" s="7">
        <f>E6</f>
        <v>84</v>
      </c>
      <c r="C33" s="4"/>
      <c r="D33" s="4"/>
      <c r="E33" s="4"/>
      <c r="F33" s="4"/>
    </row>
    <row r="34" spans="1:6" x14ac:dyDescent="0.3">
      <c r="A34" s="4" t="s">
        <v>43</v>
      </c>
      <c r="B34" s="7">
        <f>D6-E6</f>
        <v>137</v>
      </c>
      <c r="C34" s="4"/>
      <c r="D34" s="4"/>
      <c r="E34" s="4"/>
      <c r="F34" s="4"/>
    </row>
    <row r="35" spans="1:6" x14ac:dyDescent="0.3">
      <c r="A35" s="4" t="s">
        <v>39</v>
      </c>
      <c r="B35" s="7">
        <f>E7</f>
        <v>142</v>
      </c>
      <c r="C35" s="4"/>
      <c r="D35" s="4"/>
      <c r="E35" s="4"/>
      <c r="F35" s="4"/>
    </row>
    <row r="36" spans="1:6" x14ac:dyDescent="0.3">
      <c r="A36" s="4" t="s">
        <v>43</v>
      </c>
      <c r="B36" s="7">
        <f>D7-E7</f>
        <v>256</v>
      </c>
      <c r="C36" s="4"/>
      <c r="D36" s="4"/>
      <c r="E36" s="4"/>
      <c r="F36" s="4"/>
    </row>
    <row r="37" spans="1:6" x14ac:dyDescent="0.3">
      <c r="A37" t="s">
        <v>40</v>
      </c>
      <c r="B37" s="3">
        <f>E8</f>
        <v>56</v>
      </c>
    </row>
    <row r="38" spans="1:6" x14ac:dyDescent="0.3">
      <c r="A38" t="s">
        <v>43</v>
      </c>
      <c r="B38" s="3">
        <f>D8-E8</f>
        <v>336</v>
      </c>
    </row>
    <row r="39" spans="1:6" x14ac:dyDescent="0.3">
      <c r="A39" t="s">
        <v>41</v>
      </c>
      <c r="B39" s="3">
        <f>E9</f>
        <v>127</v>
      </c>
    </row>
    <row r="40" spans="1:6" x14ac:dyDescent="0.3">
      <c r="A40" t="s">
        <v>43</v>
      </c>
      <c r="B40" s="3">
        <f>D9-E9</f>
        <v>138</v>
      </c>
    </row>
    <row r="41" spans="1:6" x14ac:dyDescent="0.3">
      <c r="A41" t="s">
        <v>43</v>
      </c>
      <c r="B41" s="3">
        <f>D10-E10</f>
        <v>350</v>
      </c>
    </row>
    <row r="43" spans="1:6" x14ac:dyDescent="0.3">
      <c r="A43" s="1" t="s">
        <v>44</v>
      </c>
      <c r="B43" s="11">
        <f>SUM(B31:B41)</f>
        <v>2421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Kittelson</dc:creator>
  <cp:lastModifiedBy>Marcus Kittelson</cp:lastModifiedBy>
  <dcterms:created xsi:type="dcterms:W3CDTF">2026-08-05T03:02:00Z</dcterms:created>
  <dcterms:modified xsi:type="dcterms:W3CDTF">2026-08-05T04:02:14Z</dcterms:modified>
</cp:coreProperties>
</file>